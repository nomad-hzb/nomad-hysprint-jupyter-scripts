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oxl\Downloads\"/>
    </mc:Choice>
  </mc:AlternateContent>
  <xr:revisionPtr revIDLastSave="0" documentId="13_ncr:1_{65A95525-D5E4-405C-A1BD-81C63A6045DE}" xr6:coauthVersionLast="47" xr6:coauthVersionMax="47" xr10:uidLastSave="{00000000-0000-0000-0000-000000000000}"/>
  <bookViews>
    <workbookView xWindow="3180" yWindow="2100" windowWidth="19185" windowHeight="10065"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8" i="1" l="1"/>
  <c r="E4" i="1"/>
  <c r="F2" i="1"/>
</calcChain>
</file>

<file path=xl/sharedStrings.xml><?xml version="1.0" encoding="utf-8"?>
<sst xmlns="http://schemas.openxmlformats.org/spreadsheetml/2006/main" count="866" uniqueCount="433">
  <si>
    <t>DOI</t>
  </si>
  <si>
    <t>Author(s)</t>
  </si>
  <si>
    <t>Year</t>
  </si>
  <si>
    <t>PCE(Max)</t>
  </si>
  <si>
    <t>PCE(Median)</t>
  </si>
  <si>
    <t>Area (cm²)</t>
  </si>
  <si>
    <t>Deposition Technique</t>
  </si>
  <si>
    <t>Module/Cell</t>
  </si>
  <si>
    <t>Stack (with Chemical Formula)</t>
  </si>
  <si>
    <t>What is new?</t>
  </si>
  <si>
    <t>10.1021/acsami.5c00941</t>
  </si>
  <si>
    <t>Yoon-Jeong Choi, Byung Doo Chin, et al.</t>
  </si>
  <si>
    <t>Inkjet printing</t>
  </si>
  <si>
    <t>Glass/ITO/PbV:PVK/TCTA:TPBi:Ir(mppy)3/mSiTrz/mSiTrz:Liq/Lif/Al</t>
  </si>
  <si>
    <t>(Non-perovskite paper) Organic LEDs deposition by inkjet printing. They used non-toxic solvents for a new ink formulation. After optimization, they reached decent results</t>
  </si>
  <si>
    <t>10.1016/j.cplett.2022.140084</t>
  </si>
  <si>
    <t>Han Yang, Yong Peng, et al.</t>
  </si>
  <si>
    <t>Cell</t>
  </si>
  <si>
    <t>Glass/FTO/SnO2/CsxFA1-xPb(IyBr1-y)3/Spiro-OMeTAD/Au</t>
  </si>
  <si>
    <t>They dissolved FAI in n-Butanol and IPA, which they deposited via IJP on top of PbI2/CsBr films</t>
  </si>
  <si>
    <t>10.1002/advs.202416634</t>
  </si>
  <si>
    <t>Hengyi Jiang, Zhanhua Wei, et al.</t>
  </si>
  <si>
    <t>Glass/FTO/SnO2/Perovskite/Spiro-OMeTAD/Ag</t>
  </si>
  <si>
    <t xml:space="preserve">The measured precisely how much of each precursor salt they used, and categorized the properties of the resulting crystals with respect to the deposition densities (ug/cm2). They used FAPbI3, FAPbBr3,MAPbI3, and MAPbBr3, but don't say what the PCE belongs to. </t>
  </si>
  <si>
    <t>10.1002/aenm.202400549</t>
  </si>
  <si>
    <t>Li Tan, Zhanhua Wei, et al.</t>
  </si>
  <si>
    <t>Glass/FTO/SnO2/Perovskite/Passivation/Spiro-OMeTAD/Ag</t>
  </si>
  <si>
    <t>They used 2-ADAHCl as a passivation layer and found that 2.5 ug/cm2 of it gives the best results. For perovskites, they deposited a layer of CsPbBr3 and added a combination of FAPbI3, FAPbBr3, MAPbI3, and MAPbBr3, but don't specify the best ratios</t>
  </si>
  <si>
    <t>10.1002/aenm.202401463</t>
  </si>
  <si>
    <t>Nabonswende Aida Nadege Ouedraogo, Kuan Sun, et al.</t>
  </si>
  <si>
    <t>This is a review paper. They don't seem to show any original work</t>
  </si>
  <si>
    <t>ITO/SnO2/Cs0.10FA0.75MA0.15Pb(Br0.15I0.85)3/Spiro-OMeTAD/Ag</t>
  </si>
  <si>
    <t>γ-valerolactone (GVL) and 1,3-dimethyl-2-imidazolidinone (DMI) as co-solvent</t>
  </si>
  <si>
    <t>Module</t>
  </si>
  <si>
    <t>γ-valerolactone (GVL)  as co-solvent</t>
  </si>
  <si>
    <t>https://doi.org/10.1016/j.colsurfa.2024.135508</t>
  </si>
  <si>
    <t>Mirea et al</t>
  </si>
  <si>
    <t>Spray coating</t>
  </si>
  <si>
    <t>FTO/c-TiO2/SnO2 QDs /K0.1FA0.7MA0.2PbI2.8Cl0.2/Spiro-OMeTAD/Au</t>
  </si>
  <si>
    <t xml:space="preserve">Different nanometric mesoporous ETL (namely m-TiO2, m-SnO2 and m-SnO2 QDs)has been compared in nip PSC. ETL layers are deposited using spray coating. </t>
  </si>
  <si>
    <t>https://doi.org/10.1021/acsaem.5c00718</t>
  </si>
  <si>
    <t>Caeyers et al</t>
  </si>
  <si>
    <t>ITO/NiO/CsFAPbIBr/LiF/C60/BCP/Ag</t>
  </si>
  <si>
    <t>uniform and compact 1.6 eV CsFAPbIBr PVSK films through ultrasonic spray coating has been achieved. A smooth wet to dry transition is achieved and gas quenching is used for fast neucleation.</t>
  </si>
  <si>
    <t>https://doi.org/10.3390/mi16060685</t>
  </si>
  <si>
    <t>Handor et al</t>
  </si>
  <si>
    <t>FTO/c-TiO2/m-TiO2/ CH3NH3PbI2.6Cl0.4/Spiro-OMeTAD/Au</t>
  </si>
  <si>
    <t>https://doi.org/10.1007/s10971-025-06782-w</t>
  </si>
  <si>
    <t>Mujtaba et al</t>
  </si>
  <si>
    <t>FTO/TiO2/CsPbIBr2/Spiro-OMeTAD/Au</t>
  </si>
  <si>
    <t>CsPbIBr2 perovskite has been modified by incorporating 10% CsPbI3 by spray coating. Improved crystallinity and high uniformity along with better device performance has been achieved.</t>
  </si>
  <si>
    <t>https://doi.org/10.1038/s41598-020-63674-5</t>
  </si>
  <si>
    <t>Bishop et al</t>
  </si>
  <si>
    <t>ITO/np-SnO2/Cs0.05FA0.81MA0.14PbI2.55Br0.45/ spiro-OMeTAD/Au</t>
  </si>
  <si>
    <t>All the functional layers of the device are coated by ultrasonic spray coating. Spray coating of triple cation perovskite Cs0.05FA0.81MA0.14PbI2.55Br0.45 has been optimized</t>
  </si>
  <si>
    <t>https://doi.org/10.35848/1347-4065/adc463</t>
  </si>
  <si>
    <t>Ueoka et al</t>
  </si>
  <si>
    <t>glass/CNT/PEDOT:PSS/ MAPbI3/C60/Ag</t>
  </si>
  <si>
    <t>Carbon nanotube electrode has been deposited using spray coating</t>
  </si>
  <si>
    <t>https://doi.org/10.1021/acsami.5c14396</t>
  </si>
  <si>
    <t>Su et al</t>
  </si>
  <si>
    <t>ITO/SnO2/FAPbI3/PEAI/Spiro-OMeTAD/Au</t>
  </si>
  <si>
    <t>This paper introduces an in situ coordination doping strategy using ASP-Na to control SnO₂ film quality, suppressing aggregation and defects.</t>
  </si>
  <si>
    <t>https://doi.org/10.1016/j.jechem.2021.09.032</t>
  </si>
  <si>
    <t>Yu et al</t>
  </si>
  <si>
    <t>FTO/ SnO2/Cs0.19FA0.81PbI2.5Br0.5/Spiro-OMeTAD/Au</t>
  </si>
  <si>
    <t>two step Evap and spray coating of Cs0.19FA0.81PbI2.5Br0.5 perovskite to eliminate coffee ring effect. FAI/Br is spray deposited</t>
  </si>
  <si>
    <t>https://doi.org/10.1051/epjpv/2022008</t>
  </si>
  <si>
    <t>Silvano et al</t>
  </si>
  <si>
    <t>ITO/NiO/Cs0.18FA0.82Pb(I0.94Br0.06)3/LiF/C60/BCP/Ag</t>
  </si>
  <si>
    <t>investigation of the ultrasonically spray coated perovskite layers for photovoltaic applications, with particular focus on the quenching-assisted crystallization step. Different quenching techniques are introduced to the process and compared in terms of final layer morphology and cell performance. Gas quenching came out to be best</t>
  </si>
  <si>
    <t>https://doi.org/10.1021/acsaem.2c02106</t>
  </si>
  <si>
    <t>Dong et al</t>
  </si>
  <si>
    <t>ITO/PEDOT:PSS/MAPbI3 (spray)/spiro-OMeTAD/Au</t>
  </si>
  <si>
    <t>This work reports an argon-assisted spray-coating process for fabricating mesoporous MAPbI3 PSCs in ambient air. pinhole-free and uniform perovskite films by optimizing the nucleation and crystallization were obtained</t>
  </si>
  <si>
    <t>https://doi.org/10.1021/acsami.1c21644</t>
  </si>
  <si>
    <t>Lee et al</t>
  </si>
  <si>
    <t>FTO/c-TiO2/ /CsPbI2Br/MoO2-with-PTAA/CB or Au</t>
  </si>
  <si>
    <t>All the layers are coated using spray coating. Even the carbon back electrod is deposited using spray coating. 25 cm2 module has been made with pce above 13.88</t>
  </si>
  <si>
    <t>https://doi.org/10.1007/s11664-022-09459-0</t>
  </si>
  <si>
    <t>FTO/ SnO2/MAFAPbIBr/Spiro-OMeTAD/Au</t>
  </si>
  <si>
    <t>Here, a film deposition method of spray coating and a film processing strategy of vacuum flash were used to deposit perovskite films and carrier transport layers, which was devoted to the fabrication of fully spray-coated PSCs. Module with area over 10 cm.</t>
  </si>
  <si>
    <t xml:space="preserve">Here, a film deposition method of spray coating and a film processing strategy of vacuum flash were used to deposit perovskite films and carrier transport layers, which was devoted to the fabrication of fully spray-coated PSCs. </t>
  </si>
  <si>
    <t>https://doi.org/10.1002/advs.202104848</t>
  </si>
  <si>
    <t>Cassella et al</t>
  </si>
  <si>
    <t>ITO/MeO-2PACz/MAPbI3/C60/bcp/Ag</t>
  </si>
  <si>
    <t>They develop the ultrasonic spray coating method for deposition of Meo "PACz SAM and obtained PCE siilar to that of spin coated sam based devices</t>
  </si>
  <si>
    <t>https://doi.org/10.1021/acsaem.3c00491</t>
  </si>
  <si>
    <t>ITO/NiOx/ Cs0.18FA0.82Pb(I0.94Br0.06)3/LiF/C60/BCP/Cu</t>
  </si>
  <si>
    <t>This study proposes a design of experiments (DoE) approach to analyze and optimize the fabrication of perovskite thin films by ultrasonic spray coating. The
investigation of deposition parameters one factor at a time (OFAT)
and the more in-depth full factorial analysis of three key input variables allowed the assessment of the impact level of each factor on
the quality and performance of the obtained films of the fabricated photovoltaic devices</t>
  </si>
  <si>
    <t>https://doi.org/10.1016/j.mtener.2023.101453</t>
  </si>
  <si>
    <t>Wu et al</t>
  </si>
  <si>
    <t xml:space="preserve"> FTO|NiOX|Cs0.05FA0.79MA0.16Pb1.03Br0.51I2.49|PCBM:BCP|Ag</t>
  </si>
  <si>
    <t xml:space="preserve"> the inferior contact and the redox reaction at the NiOX|perovskite buried interface limit the performance of the devices. Herein, a series of ionic liquids were selected to modulate this interface as well as the perovskite film morphology. The results show that 1-butyl-3-methylimidazole tetrafluoroborate (BMIMBF4) exhibits a strong interfacial coupling effect between NiOX and perovskite, which facilitates the perovskite crystallization and charge transfer at the interface</t>
  </si>
  <si>
    <t>https://doi.org/10.1007/s10854-022-09690-9</t>
  </si>
  <si>
    <t>Zheng et al</t>
  </si>
  <si>
    <t>ITO/SnO2/FA0.83Cs0.17PbI3/PCBM/Ag</t>
  </si>
  <si>
    <t>revealed the relationship between the hysteresis effect of PSCs and the deposition type of ETL films. There is reduced trap density and enhanced transportation of electrons, resulting in negligible hysteresis of PSC devices, when a spray coating deposition method is used</t>
  </si>
  <si>
    <t>https://doi.org/10.1021/acsami.2c05085</t>
  </si>
  <si>
    <t>Thornber et al</t>
  </si>
  <si>
    <t>ITO/nanoparticle (np)-SnO2/Cs0.17FA0.83PbI3−xClx/spiroOMeTAD/Au</t>
  </si>
  <si>
    <t>explore the use of ultrasonic spray coating to fabricate perovskite solar cells (PSCs) over rigid, nonplanar surfaces without problems caused by solution dewetting and subsequent “run-off”. Encouragingly, we find that PSCs can be spray-coated using our processes onto glass substrates held at angles of inclination up to 45° away from the horizontal, with such devices having comparable power conversion efficiencies (up to 18.3%) to those spray-cast onto horizontal substrates. Having established that our process can be used to create PSCs on surfaces that are not horizontal, we fabricate devices over a convex glass substrate, with devices having a maximum power conversion efficiency of 12.5%. To our best knowledge, this study represents the first demonstration of a rigid, curved perovskite solar cel</t>
  </si>
  <si>
    <t xml:space="preserve">https://doi.org/10.1021/acsaem.3c02726 </t>
  </si>
  <si>
    <t>Zhao et al</t>
  </si>
  <si>
    <t>ITO/NiOx/MeO 2PACz/MAPbI3/PCBM/BCP/Ag</t>
  </si>
  <si>
    <t>High-quality MAPbI3 perovskite thin films were achieved conveniently utilizing the ultrasonic spray-coating method without an antisolvent process. Meanwhile, the effect of self-assembled monolayers (SAMs), including 2PACz, MeO-2PACz, and Me-4PACz, on the morphology, crystallization, and optoelectronic properties</t>
  </si>
  <si>
    <t>High-quality MAPbI3 perovskite thin films were achieved conveniently utilizing the ultrasonic spray-coating method without an antisolvent process. Meanwhile, the effect of self-assembled monolayers (SAMs), including 2PACz, MeO-2PACz, and Me-4PACz, on the morphology, crystallization, and optoelectronic properties. uniform deposition over an area of 10 cm x 10 cm</t>
  </si>
  <si>
    <t>https://doi.org/10.1016/j.matchemphys.2023.128086</t>
  </si>
  <si>
    <t>Behrouznejad</t>
  </si>
  <si>
    <t>/ITO/SnOx/Cs0.05FA0.81MA0.14PbI2.55Br0.45/spiro OMeTAD/Au</t>
  </si>
  <si>
    <t>In this project, the SnOx layer is deposited by the reactive electron beam evaporation method (re-SnOx) as an electron transport layer for the spray-coated Cs0.05FA0.81MA0.14PbI2.55Br0.45 layer. Results show that spray-coated perovskite (PSK) layers are significantly more uniform on re-SnOx layers compared to the spin-coated commercial nanoparticles of SnOx (np-SnOx) due to their excellent surface coverage and purity. The best efficiency of 20.8% is obtained for reSnOx/spray-coated PSK. Surface passivation of spray-coated PSK with phenethylammonium iodide improves all photovoltaic properties, increases efficiency from an average of 17.9%–19.6%, and reduces the hysteresis index from an average of 0.3 to 0.09</t>
  </si>
  <si>
    <t>https://doi.org/10.1016/j.orgel.2022.106440</t>
  </si>
  <si>
    <t>Liu et at</t>
  </si>
  <si>
    <t>ITO/PEDOT:PSS/(BA)2(MA)3Pb4I13/PCBM/BCP/Ag</t>
  </si>
  <si>
    <t>in this work a 2D PSCs, including long-term stability and excellent electrical properties has been deposited using ultrasonic spray-coating. Layer by layer deposition gives better film quality and controllable film growth.</t>
  </si>
  <si>
    <t>https://doi.org/10.1007/s40684-022-00485-1</t>
  </si>
  <si>
    <t>Park et al</t>
  </si>
  <si>
    <t>PEN/ITO/PTAA/(CsPbI3)0.02(FA0.8MA0.2Pb(I2.8Br0.2))0.98/(C60)/(BCP)/Cu</t>
  </si>
  <si>
    <t>they came up with a Film-GrowthMegasonic-Spray-Coating (FGMSC) method that continuously grows uniform perovskite film on large-area flexible substrates by using fine perovskite precursor droplets ( &lt;10 μm). The film growth mechanisms of a perovskite layer (e.g. film coverage,
roughness, and crystal grain size) according to the precursor droplet supply rate and the multiple spray was thoroughly investigated for manufacturing flexible perovskite solar mini-module. In complete automation that utilizes the two-dimensional
transportation system, the FGMSC system has successfully fabricated a defect-free uniform perovskite layer on large-area
flexible substrates with high reproducibility and flexibility by controlling perovskite film growth. The scalability of this
system is proved through fabrication of a flexible perovskite solar mini-module with PCE of 16.10% from an active area of
35.1 cm2</t>
  </si>
  <si>
    <t>they came up with a Film-GrowthMegasonic-Spray-Coating (FGMSC) method that continuously grows uniform perovskite film on large-area flexible substrates by using fine perovskite precursor droplets ( &lt;10 μm). The film growth mechanisms of a perovskite layer (e.g. film coverage,
roughness, and crystal grain size) according to the precursor droplet supply rate and the multiple spray was thoroughly investigated for manufacturing flexible perovskite solar mini-module. In complete automation that utilizes the two-dimensional
transportation system, the FGMSC system has successfully fabricated a defect-free uniform perovskite layer on large-area
flexible substrates with high reproducibility and flexibility by controlling perovskite film growth. The scalability of this
system is proved through fabrication of a flexible perovskite solar mini-module with PCE of 16.10% from an active area of
35.1 cm3</t>
  </si>
  <si>
    <t>https://doi.org/10.1016/j.jechem.2022.08.045</t>
  </si>
  <si>
    <t>Nie et al</t>
  </si>
  <si>
    <t>FTO/ZTO/FACsPbI3/Spiro-OMeTAD/Au</t>
  </si>
  <si>
    <t>In this study, a high-performance Zn/Ti hybrid oxide ETL was developed using the one-step, low-cost and scalable spraycoating strategy. The in-situ sulfuring of the ETL was successfully realized by incorporating the sulfur-containing organic additive. Characterization indicated that the sulfured ETL can manipulate
the growth dynamic of the post perovskite film through the novel
S-Pb2+ coordination, resulting in significantly improved film uniformity and crystallinity in addition to having excellent optoelectronic properties with well-matched band structure</t>
  </si>
  <si>
    <t>https://doi.org/10.1021/acsaem.1c03485</t>
  </si>
  <si>
    <t>Chen et al</t>
  </si>
  <si>
    <t>ITO/NiOx/MAPbI3/ C60/BCP/Ag</t>
  </si>
  <si>
    <t>This study investigated the combined cooperation of methylammonium acetate (MAAc) additive doping in a perovskite precursor solution and a mixed nonfullerene small-molecule semiconductor additive (DCDTT) in chlorobenzene for an antisolvent spraying treatment for the preparation of an ultrasonic spray-coated perovskite film. This spray-coating method forms densely arranged crystals and passivates the defect states located around the surface grain boundaries through additive engineering. The additives form an MAAc-based intermediate and DCDTT coordination interaction with Pb2+, increasing the film quality of the methylammonium lead iodide (MAPbI3) perovskite. It was found that the addition of MAAc together with the antisolvent DCDTT treatment contributed to the enhanced crystallinity and reduced grain boundaries and trap states in perovskite films</t>
  </si>
  <si>
    <t>https://doi.org/10.1016/j.solener.2024.112738</t>
  </si>
  <si>
    <t>ITO/NiOx/Me-4PACz/ Cs0.18FA0.82Pb(I0.94Br0.06)3/LiF/C60/BCP/ITO/Ag</t>
  </si>
  <si>
    <t>In this work they fabricated CIGS/Perovskite Tandem solar cells utilizing utrasonic spray coated SAM and wide band gap perovskite (1.6 eV).</t>
  </si>
  <si>
    <t>Mo/Cu(In,Ga)Sse/CdS/ZnO/ITO/NiOx/Me-4PACz/ Cs0.18FA0.82Pb(I0.94Br0.06)3/LiF/C60/BCP/ITO/Ag</t>
  </si>
  <si>
    <t>https://doi.org/10.1002/solr.202300814</t>
  </si>
  <si>
    <t>ITO/SnO2/Cs0.15FA0.85PbI2.85Cl0.15/Spiro-OMeTAD/Au</t>
  </si>
  <si>
    <t>In this work, iso-butylammonium bromide
(i-BABr) is spray-coated onto a Cs0.15FA0.85PbI2.85Cl0.15 perovskite surface which
is deposited using gas-assisted ultrasonic spray coating. It is found that i-BABr
treatments result in the formation of a quasi-2D perovskite layer. The spraycoated surface treatment results in an impressive 80 mV improvement in the
median open-circuit voltage with respect to untreated devices</t>
  </si>
  <si>
    <t>https://doi.org/10.1002/solr.202300065</t>
  </si>
  <si>
    <t>Kumar et al</t>
  </si>
  <si>
    <t>ITO/M13 SnO2/FAPbI3/spiro-MeOTAD/ Ag</t>
  </si>
  <si>
    <t>the combined use of spray deposition and genetically engineered M13 bacteriophages for the deposition of M13-SnO2 biohybrid ETL over large-area (62.5 cm2 ) substrates is demonstrated. The spray-deposited M13-SnO2 ETLs exhibit mesoporous morphologies with &gt;85% transmittance in UV–vis region. Through the use of M13-SnO2 ETL, the sequential-deposited PSCs achieve a maximum PCE of ~22.1%</t>
  </si>
  <si>
    <t>https://doi.org/10.1002/smtd.202300237</t>
  </si>
  <si>
    <t>Tyagi et al</t>
  </si>
  <si>
    <t>ITO/SnO2/FAPbI3/Spiro-OMeTAD/Au</t>
  </si>
  <si>
    <t>Herein, large-area perovskite film fabrication is explored using a spray-assisted sequential deposition technique. How propylene carbonate (PC) solvent additive affects the transformation of lead halide (PbI2) into perovskite at room temperature is investigated. The result shows that PC-modified perovskite films exhibit a uniform, pinhole-free morphology with oriented grains compared with pristine perovskite films. The PC-modified perovskite film also has a prolonged fluorescence lifetime that indicates lower carrier recombination. The champion PSC devices based on PC-modified perovskite film realize a power conversion efficiency (PCE) of 20.5%</t>
  </si>
  <si>
    <t>https://doi.org/10.1088/1674-4926/43/9/092201</t>
  </si>
  <si>
    <t>Gao et al</t>
  </si>
  <si>
    <t>ITO/SnO2 /(FAPbI3)x(MAPbBr3)1–x/Spiro-OMeTAD/Ag</t>
  </si>
  <si>
    <t>employed (4-methoxyphenyl) potassium trifluoroborate (C7H7BF3KO) with and K+ functional groups to passivate spraycoated (FAPbI3 )x (MAPbBr3 )1–x perovskite and eliminate hysteresis. It is shown that the F of can form hydrogen bonds with the H atom in the amino group of MA+/FA+ ions of perovskite, thus reducing the generation of MA+/FA+ vacancies and improving device efficiency. Meanwhile, K+ and reduced MA+/FA+ vacancies can inhibit ion migration, thereby eliminating hysteresis. With the aid of C7H7BF3KO, we obtained hysteresis-free PSCs with the maximum efficiency of 19.5% by spray-coating in air</t>
  </si>
  <si>
    <t>DOI: 10.1002/adfm.202301920</t>
  </si>
  <si>
    <t xml:space="preserve">Tan et al. </t>
  </si>
  <si>
    <t>ITO/SnO2/FA0.6MA0.4PbI3/P3HT/m-NiOx/C</t>
  </si>
  <si>
    <t>organic/inorganic double planar HTL is constructed based on
polythiophene (P3HT) and nickel oxide (NiOx) nanoparticles</t>
  </si>
  <si>
    <t>DOI: 10.1002/adfm.202314349</t>
  </si>
  <si>
    <t>Ke et al</t>
  </si>
  <si>
    <t>ITO/Meo-2PACz/FA0.8Cs0.2Pb(I0.6Br0.4)3/C60/Cu.</t>
  </si>
  <si>
    <t xml:space="preserve">mixed-cation post treatments, to relieve strain in perovskite, resulting in homogeneously crystallized films. </t>
  </si>
  <si>
    <t>DOI: 10.1002/adfm.202418915</t>
  </si>
  <si>
    <t>ITO/SnO2/FA0.6MA0.4PbI3/P3HT/NiOx/carbon.</t>
  </si>
  <si>
    <t>Semi-sealed gas quenching (SSGQ) strategy introduced for high quality perovskite film</t>
  </si>
  <si>
    <t>DOI: 10.1002/adfm.202510444</t>
  </si>
  <si>
    <t>Zhang etal.</t>
  </si>
  <si>
    <t>ITO/2PACz/Cs0.22FA0.78Pb(I0.85Br0.15)3 /Passivation/PCBM/BCP/Ag.</t>
  </si>
  <si>
    <t>3 multifunctional organic molecules (PTU, BTU, PTTU) blade coated on WBG perovskite</t>
  </si>
  <si>
    <t>DOI: 10.1002/aenm.202303858</t>
  </si>
  <si>
    <t>Saidamonov et al</t>
  </si>
  <si>
    <t>Glass/ITO/SnO2/FAPbI3/Spiro-OMeTAD/Au</t>
  </si>
  <si>
    <t>Trace amount of cadmium (in the form of CdI2) to FAPbI3 is
reported and found that it enhances the stability of the perovskite’s black
𝜶-phase</t>
  </si>
  <si>
    <t>DOI: 10.1002/adma.202414790</t>
  </si>
  <si>
    <t>Ke etal.</t>
  </si>
  <si>
    <t>ITO/Meo-2PACz/FA0.8Cs0.2Pb(I0.6Br0.4)3  (WBG)/C60/LD/Au 1nm/PEDOT:PSS/NBG Perovskite/C60/BCP/Cu.</t>
  </si>
  <si>
    <t>Glycine amide hydrochloride to regulate pre-nucleation clustering</t>
  </si>
  <si>
    <t>DOI: 10.1002/adma.202412059</t>
  </si>
  <si>
    <t>Chen etal.</t>
  </si>
  <si>
    <t>glass/ITO/HTL /MA0.7 FA0.3PbI3/C60 /bathocuproine (BCP)/Cu.</t>
  </si>
  <si>
    <t>Novel HTL developed, compared with 4 PACz</t>
  </si>
  <si>
    <t>https://doi.org/10.1021/acsaem.3c01495</t>
  </si>
  <si>
    <t>Shen etal</t>
  </si>
  <si>
    <t>ITO/PTAA /MAPbI3/ PCBM/ BCP/Ag structure</t>
  </si>
  <si>
    <t>Combined ionic liquid MAAc with the highly volatile 2-Me solvent to control perovskite crystallinity</t>
  </si>
  <si>
    <t>https://doi.org/10.1021/acsami.5c04111</t>
  </si>
  <si>
    <t>ITO/(4-(7H-dibenzo[c,g]-arbazole-7-yl)butyl)phosphonic acid (4PADCB)/FA0.83Cs0.17PbI3 perovskite/PEAI/[6,6]-phenyl-C61-butyricacid methyl ester (PCBM)/bathocuproine (BCP)/Ag</t>
  </si>
  <si>
    <t>Blade coated passivation using PEAI with dibutyl alcohol (TBA) introduced in IPA to reduce IPA induced corrosion on perovskite layer.</t>
  </si>
  <si>
    <t>https://doi.org/10.1007/s40820-025-01838-6</t>
  </si>
  <si>
    <t>Hao etal</t>
  </si>
  <si>
    <t>ITO/4PADCB /Al2O3 /PEAI/FA0.8Cs0.2Pb(I0.75Br0.25)3/PEAI +
EDAI2/C60/SnO2/Ag</t>
  </si>
  <si>
    <t>MA free WBG ink developed and improved with RbI for making ambient blade coated PSC</t>
  </si>
  <si>
    <t>DOI: 10.1002/solr.202200739</t>
  </si>
  <si>
    <t>Matteocci etal.</t>
  </si>
  <si>
    <t>ITO/SnO2/FaPbBr3/PTAA/ITO</t>
  </si>
  <si>
    <t>Fully blade coated air processed semi-transparent cells fabricated, deposition on 300 cm2 substrates</t>
  </si>
  <si>
    <t>DOI: 10.1002/solr.202200900</t>
  </si>
  <si>
    <t>Wang etal</t>
  </si>
  <si>
    <t>FTO/NiOx/Cs0.05(FA0.98MA0.02)0.95Pb(I0.98Br0.02)3/C60/BCP/Cu</t>
  </si>
  <si>
    <t>vacuum-assisted approach , phenethylammonium iodide passivation effect at the top and bottom , ambient device fabrication</t>
  </si>
  <si>
    <t>DOI: 10.1002/adma.202309869</t>
  </si>
  <si>
    <t>Yan etal.</t>
  </si>
  <si>
    <t>ITO/PTAA/ MA0.7FA0.3PbI3/PCBM/BCP/Ag</t>
  </si>
  <si>
    <t>novel modifier N,N-diphenylguanidine monohydrobromide (DPGABr), surface reconstruction facilitates electron transfer</t>
  </si>
  <si>
    <t>DOI: 10.1002/adma.202506291</t>
  </si>
  <si>
    <t>Kong et al</t>
  </si>
  <si>
    <t>ITO/NiOx/Meo-2PACz/FA0.8MA0.2PbI3/PCBM/BCP/Ag.</t>
  </si>
  <si>
    <t>5-hydroperoxy-1-methyl-2-pyrrolidinone (HMP) is introduced as an additive. Mini modules with ambient air fabrication possible</t>
  </si>
  <si>
    <t>DOI: 10.1002/aenm.202502639</t>
  </si>
  <si>
    <t>Shi etal.</t>
  </si>
  <si>
    <t>FTO/NiOx/SAMs/FA0.85Cs0.15PbI2.9Br0.1/Piperazinium diiodide (PI)/C60/BCP/Cu</t>
  </si>
  <si>
    <t>co-adsorption strategy utilizing 3-amino-1-propanesulfonic acid (3NS) is proposed as a blade-coating-compatible strategy for large area SAM blade coating</t>
  </si>
  <si>
    <t>https://doi.org/10.1038/s41566-025-01703-3</t>
  </si>
  <si>
    <t>Jen et al</t>
  </si>
  <si>
    <t xml:space="preserve">(ITO)/self-assembled monolayer (SAM)/FA0.95Cs0.05PbI3/piperazinium
iodide/C60/bathocuproine (BCP)/Ag </t>
  </si>
  <si>
    <t>temperature-controlled vacuum quenching (T-VAQ) nucleation approach</t>
  </si>
  <si>
    <t>https://doi.org/10.1016/j.joule.2024.06.008</t>
  </si>
  <si>
    <t>Meng etal</t>
  </si>
  <si>
    <t>FTO/SnO2/KCl/FAPbI3/phenyltrimethylammoniumbromide(PTABr)/ spiro-OMeTAD)/Au</t>
  </si>
  <si>
    <t>meniscus-modulated blade coating method is developed to upscale perovskite films by controlling direction and flow rate of air-knife</t>
  </si>
  <si>
    <t>10.1119/5.0169090</t>
  </si>
  <si>
    <r>
      <rPr>
        <sz val="11"/>
        <color theme="1"/>
        <rFont val="Aptos Narrow"/>
        <family val="2"/>
        <charset val="1"/>
      </rPr>
      <t>M. Foster</t>
    </r>
    <r>
      <rPr>
        <sz val="11"/>
        <color theme="1"/>
        <rFont val="Noto Sans SC Regular"/>
        <family val="2"/>
      </rPr>
      <t xml:space="preserve">， </t>
    </r>
    <r>
      <rPr>
        <sz val="11"/>
        <color theme="1"/>
        <rFont val="Aptos Narrow"/>
        <family val="2"/>
        <charset val="1"/>
      </rPr>
      <t>et al</t>
    </r>
  </si>
  <si>
    <t>Basic knowledge related to spin-coating</t>
  </si>
  <si>
    <t>10.1039/c8cs00656c</t>
  </si>
  <si>
    <t>Minsu Jung, et al</t>
  </si>
  <si>
    <t>Information about LaMer diagram</t>
  </si>
  <si>
    <t>10.1126/science.add7331</t>
  </si>
  <si>
    <t>G. Li, et al</t>
  </si>
  <si>
    <t>ITO/MeO-2PACz/Cs0.05(FA0.98MA0.02)0.95Pb(I0.98Br0.02)3/PCBM/BCP/Ag</t>
  </si>
  <si>
    <t>The ordered dipolar structure enhance the device stability</t>
  </si>
  <si>
    <t>10.1038/s41586-023-06208-z</t>
  </si>
  <si>
    <t>P. Shi, et al</t>
  </si>
  <si>
    <t>FTO/c-TiO2/c-SnO2/Cs0.05MA0.05FA0.9PbI3/spiro-OMeTAD/Au</t>
  </si>
  <si>
    <t>in situ monitoring of the perovskite crystallization process</t>
  </si>
  <si>
    <t>10.1038/nnano.2014.181</t>
  </si>
  <si>
    <t>J.-H. Im, et al</t>
  </si>
  <si>
    <t>FTO/TiO2/MAPbI3/spiro-OMeTAD/Au</t>
  </si>
  <si>
    <t>two-step spin-coating procedure</t>
  </si>
  <si>
    <t>10.1038/s41563-018-0115-4</t>
  </si>
  <si>
    <t>F. Sahli, et al</t>
  </si>
  <si>
    <t>Ag/ITO/c-Si/ITO/Spiro-TTB/CsxFA1−xPb(I,Br)3/LiF/C60/SnO2/IZO/MgF2/Ag</t>
  </si>
  <si>
    <t>a hybrid two-step deposition method combining sequential co-evaporation and spin-coating</t>
  </si>
  <si>
    <t>10.1126/science.adx1745</t>
  </si>
  <si>
    <t>O. Er-raji, et al</t>
  </si>
  <si>
    <t>Ag/ITO/c-Si/ITO/Me-4PACz/Cs0.13FA0.87Pb(I0.74Br0.26)4/PDAI/C60/SnO2/IZO/MgF2/Ag</t>
  </si>
  <si>
    <t>work function engineering strategies extends beyond the interface to the bulk of the perovskite absorber</t>
  </si>
  <si>
    <t>10.1038/s41467-021-22049-8</t>
  </si>
  <si>
    <t>A. D. Taylor, et al</t>
  </si>
  <si>
    <t>ITO/PTAA/PFN-Br/Cs0.05(MA0.17FA0.83)0.95Pb(I0.9Br0.1)3/PCBM/BCP/Ag</t>
  </si>
  <si>
    <t>The influence of anti-solvent on the quality of perovskite layer</t>
  </si>
  <si>
    <t>10.1039/D4EE01432D</t>
  </si>
  <si>
    <t>J. Zhang, et al</t>
  </si>
  <si>
    <t>ITO/SnO2/FAxCs1-xPbI3/Spiro-OMeTAD/Au</t>
  </si>
  <si>
    <t>automated device acceleration platform</t>
  </si>
  <si>
    <t>10.1002/solr.202100386</t>
  </si>
  <si>
    <t>Y. Yu, et al</t>
  </si>
  <si>
    <t>review of gas queching</t>
  </si>
  <si>
    <t>10.1126/science.adf0194</t>
  </si>
  <si>
    <t>Q. Jiang, et al</t>
  </si>
  <si>
    <t>ITO/SAM/1.75-eV perovskite/LiF/C60/ SnOx/Au/PEDOT:PSS/1.25-eV perovskite/C60/BCP/Ag</t>
  </si>
  <si>
    <t>Gas queching for wide-bandgap perovskite</t>
  </si>
  <si>
    <t>10.1002/aenm.202203468</t>
  </si>
  <si>
    <t>E. J. Cassella, et al</t>
  </si>
  <si>
    <t>ITO/MeO-2PACz/MAPbI3/C60/BCP/Ag</t>
  </si>
  <si>
    <t>solvent engineering for annealing-free perovskite films</t>
  </si>
  <si>
    <t>10.1021/acsenergylett.5c02366</t>
  </si>
  <si>
    <t>F. Harata, et al</t>
  </si>
  <si>
    <t>ITO/MeO-2PACz/EDA0.01FA0.98SnI3/C60/BCP/Ag</t>
  </si>
  <si>
    <t>Substrate-Independent and Antisolvent-Free Fabrication Method for Tin Perovskite Films</t>
  </si>
  <si>
    <t>10.1126/science.aaf8060</t>
  </si>
  <si>
    <t>X. Li, et al</t>
  </si>
  <si>
    <t>FTO/TiO2/FA0.81MA0.15PbI2.51Br0.45/spiro-OMeTAD/Au</t>
  </si>
  <si>
    <t>vacuum flash–assisted solution process</t>
  </si>
  <si>
    <t>10.1039/d2ee00288d</t>
  </si>
  <si>
    <r>
      <rPr>
        <sz val="11"/>
        <color theme="1"/>
        <rFont val="Aptos Narrow"/>
        <family val="2"/>
        <charset val="1"/>
      </rPr>
      <t>Shuaifeng Hu</t>
    </r>
    <r>
      <rPr>
        <sz val="11"/>
        <color theme="1"/>
        <rFont val="Noto Sans SC Regular"/>
        <family val="2"/>
      </rPr>
      <t>，</t>
    </r>
    <r>
      <rPr>
        <sz val="11"/>
        <color theme="1"/>
        <rFont val="Aptos Narrow"/>
        <family val="2"/>
        <charset val="1"/>
      </rPr>
      <t>et al</t>
    </r>
  </si>
  <si>
    <t>ITO/PEDOT:PSS/Cs0.1FA0.6MA0.3Sn0.5Pb0.5I3/C60/BCP/Ag</t>
  </si>
  <si>
    <t>Carrier extraction in mixed tin–lead perovskite solar cells is improved by modifying the top and bottom perovskite surfaces with ethylenediammonium diiodide and glycine hydrochloride, respectively</t>
  </si>
  <si>
    <t>10.1038/s41565-025-01905-4</t>
  </si>
  <si>
    <t>Dongxu He, et al</t>
  </si>
  <si>
    <t>ITO/PEDOT:PSS/(CsI)x/100(PEA0.15FA0.85SnI2.85Br0.15)1–x/100/ICBA/BCP/Ag</t>
  </si>
  <si>
    <t>Introduce small inorganic caesium cations to partially replace bulky organic cations in the electrical double layers of 2D THP colloids, reducing the colloid size to lower their aggregation barrier. The reduced electrostatic repulsion promotes the coagulation of 2D and 3D THP colloids in the precursor solution, synchronizing their
nucleation kinetics for the growth of 2D/3D heterostructured THP thin
films with a homogeneous microstructure and markedly reduced trap
states.</t>
  </si>
  <si>
    <t>10.1126/science.adm94</t>
  </si>
  <si>
    <t>Hao Chen, et al</t>
  </si>
  <si>
    <t>FTO/2PAcz:Me-4PACz (1:2)/Cs0.05MA0.1FA0.85PbI3/C60/SnOx/Ag</t>
  </si>
  <si>
    <t xml:space="preserve">Identified ligands that bind two neighboring lead(II) ion (Pb2+) defect sites in a planar ligand orientation on the perovskite. </t>
  </si>
  <si>
    <t>10.1038/s41565-025-01899-z</t>
  </si>
  <si>
    <t>Shiqiang Fu, et al</t>
  </si>
  <si>
    <t>ITO/NiO/Me-4PACz/FA0.8Cs0.2Pb(I0.6Br0.4)3/C60/BCP/Cu</t>
  </si>
  <si>
    <t>A specialized crystal-modifying agent, piracetam, tailored for wide-bandgap perovskites, featuring amide and pyrrolidone moieties, initially modulates perovskite nucleation, resulting in large-sized grains, preferred (110) orientation, enhanced crystallinity and uniform optoelectronic properties.</t>
  </si>
  <si>
    <t>10.1126/science.abd4016</t>
  </si>
  <si>
    <t>Amran Al-Ashouri, et al</t>
  </si>
  <si>
    <t>Ag/AZO/a-Si(p)/a-Si(i)/c-Si (n)/a-Si(i)/SnO2/ITO/Me-4PACZ/ 1.68 eV pero/LiF/C60/SnO2/Indium Zinc Oxide (IZO)/Ag/LiF</t>
  </si>
  <si>
    <t>Introduced a self-assembled, methyl-substituted carbazole monolayer as the hole-selective layer in the perovskite cell. The accelerated hole extraction was linked to a low ideality factor of 1.26 and single-junction fill factors of up to 84%, while enabling a tandem open-circuit voltage of as high as 1.92 volts</t>
  </si>
  <si>
    <t>10.1038/s41563-025-02367-8</t>
  </si>
  <si>
    <t>Fuzong Xu, et al</t>
  </si>
  <si>
    <t>Ag/IZRO/a-Si(p)/a-Si(i)/c-Si/a-Si(i)/a-Si(n)/MeO-2PACZ/IZO/Cs0.05Rb0.05FA0.9PbI3/C60/SnO2/Indium Zinc Oxide (IZO)/2PACZ/NiOx/Cs0.4FA0.7PbBr1.8I1.2/C60/SnO2/Indium Zinc Oxide (IZO)/Ag/MgF2</t>
  </si>
  <si>
    <t>The ~1.50-eV formamidinium lead triiodide (FAPbI3)-based middle layer degrades during subsequent fabrication steps, and the ~2.0-eV bromide-rich top layer suffers from light-induced phase segregation. Here we address these challenges by introducing ammonium propionic acid to enhance the phase stability in both perovskite layers.</t>
  </si>
  <si>
    <t>10.1038/s41586-024-08546-y</t>
  </si>
  <si>
    <t>Shuaifeng Hu,et al</t>
  </si>
  <si>
    <t>FTO/SAM/Cs0.15FA0.85Pb(I0.33
Br0.67)3/PCBM/SnOX/IZO/NiOx/SAM/Cs0.1FA0.9Pb(I0.85Br0.15)3/C60/SnOX/IZO/PEDOT:PSS/Cs0.1FA0.6MA0.3Sn0.5Pb0.5I3/C60/SnOX/Ag</t>
  </si>
  <si>
    <t>Materials that combine amino acid salts, considerably improve the semiconducting quality and homogeneity of perovskite films, surpassing the effect of the individual functional groups when introduced as part of separate molecules</t>
  </si>
  <si>
    <t>10.1038/s41563-024-02073-x</t>
  </si>
  <si>
    <t>Zhou Liu, et al</t>
  </si>
  <si>
    <t>ITO/NiO/2PACZ+MEO-2PACZ/FA0.8Cs0.2Pb(I0.6Br0.4)3/Passivation/C60/SnO2/Au/Poly(3,4-ethylenedioxythiophene)-
poly(styrenesulfonate)/FA0.7MA0.3Pb0.5Sn0.5I3/C60/BCP/Cu</t>
  </si>
  <si>
    <t>Introducing PEAI into the anti-solvent as a solution-process additive (SPA), two-dimensional perovskite as an intermediate phase on the film surface promotes heterogeneous nucleation along the (100) three-dimensional perovskite facets during crystallization</t>
  </si>
  <si>
    <t>10.1038/s41560-025-01760-6</t>
  </si>
  <si>
    <t>Zhiqin Ying, et al</t>
  </si>
  <si>
    <t>Mo/CIGS/CdS/i-ZnO/ZnO:Al/Me-4PACz/Cs0.17FA0.83(PbI0.4Br0.6)3/C60/ALD-SnOX/IZO/MgFX</t>
  </si>
  <si>
    <t>A pre-mixed seed layer further improves perovskite wettability, crystallinity and adhesion. These advancements
enable the fabrication of a 1.09-cm2 flexible monolithic perovskite/CIGS tandem with a stabilized efficiency of 24.6% (certified 23.8%), comparable to the best-performing rigid perovskite/CIGS tandems and representing
one of the highest efficiencies among flexible thin-film solar cells</t>
  </si>
  <si>
    <t>10.1038/s41566-025-01618-z</t>
  </si>
  <si>
    <t>Liuwen Tian, et al</t>
  </si>
  <si>
    <t>Mo/CIGS/CdS/i-ZnO/AZO+IZO/SnO2/LiF/C60/Pero/NiO/Me-4PACz/ITO</t>
  </si>
  <si>
    <t>Develop a divalent cation replacement strategy that
mitigates ionic migration while limiting phase segregation,
that the replacement of the A-site cations in the perovskite lattice with
methylenediammonium cations (MDA2+) substantially suppresses the above issues in wide-bandgap perovskites</t>
  </si>
  <si>
    <t>0.1038/s41586-024-08160-y</t>
  </si>
  <si>
    <t>Xin Jiang, et al</t>
  </si>
  <si>
    <t>FTO/Me-4PACz/FA0.7MA0.2Rb0.1Pb(I0.5Br0.5)3/C60/SnOx/Au/PEDOT/PM6:BTPSe-Ph4F/N,N′-Bis{3-[3-(dimethylamino)propylamino]
propyl}perylene-3,4,9,10-tetracarboxylic di-imide (PDINN)/Ag</t>
  </si>
  <si>
    <t>Combining the cis-CyDAI2-treated perovskite and the organic active
layer with a narrow bandgap of 1.27 eV, the constructed monolithic perovskite– organic TSC demonstrates a PCE of 26.4% (certified as 25.7%).</t>
  </si>
  <si>
    <t>10.1038/s41560-022-01045-2</t>
  </si>
  <si>
    <t>Ludong Li, et al</t>
  </si>
  <si>
    <t>PET/ITO/MB-NiO/FA0.8Cs0.2PbI1.95Br1.05/C60/ALD-SnO2/Au/PEDOT:PSS/FA0.7MA0.3Pb0.5Sn0.5I3
perovskite/C60/BCP/Cu</t>
  </si>
  <si>
    <t>Using a mixture of two hole-selective molecules based on carbazole cores and phosphonic acid anchoring groups to form a self-assembled monolayer and bridge perovskite with a low temperature-processed NiO nanocrystal film</t>
  </si>
  <si>
    <t>10.1038/s41467-025-61081-w</t>
  </si>
  <si>
    <t>Yinqing Sun, et al</t>
  </si>
  <si>
    <t>Ag/ITO/a-Si(p)/a-Si(i)/n-Si/a-Si(i)/a-
Si(n)/ITO/2PACZ/CsxFA1-xPb(I,Br)3 (0&lt;x &lt; 1)/C60/SnO2/Indium Zinc Oxide (IZO)/Ag/LiF</t>
  </si>
  <si>
    <t>Through ensuring high phase homogeneity, which promotes charge transfer across all facets of the pyramid on the textured substrates and releases the residual stress at the perovskite/c-silicon interface,</t>
  </si>
  <si>
    <t>10.1021/acs.accounts.4c00095</t>
  </si>
  <si>
    <t>Jiyun Zhang, et al</t>
  </si>
  <si>
    <t>The recent advancements in automated and autonomous laboratories for advanced material discovery and device optimization with a strong focus on solution-processing perovskite solar cells.</t>
  </si>
  <si>
    <t>10.1021/acsami.4c13024</t>
  </si>
  <si>
    <t>Baumann et al.</t>
  </si>
  <si>
    <t>ITO/2PACz/Cs₀.₀₅MA₀.₁FA₀.₈₅Pb(I₀.₉Br₀.₁)₃/LiF/C60/BCP/Ag</t>
  </si>
  <si>
    <t>First fully automated application of complex one-step antisolvent quenching within inert atmosphere; demonstrates remarkable repeatability and transferability matching human expert performance with improved homogeneity and potential for autonomous optimization</t>
  </si>
  <si>
    <t>10.1002/aenm.202302594</t>
  </si>
  <si>
    <t>Zhang et al.</t>
  </si>
  <si>
    <t>ITO/SnO₂-PEIE/FA₀.₉₅Cs₀.₀₅PbI₃/PDCBT/PTAA-BCF/Au</t>
  </si>
  <si>
    <t>Integration of a fully automated robotic platform with Bayesian optimization for rapid, closed-loop optimization of perovskite thin films under ambient conditions, resulting in high efficiency (21.6%) and excellent device stability (retention of ~90% efficiency after 1100 h at 60–65 °C).</t>
  </si>
  <si>
    <t>10.26434/chemrxiv-2025-g86dx</t>
  </si>
  <si>
    <t>Eguchi et al.</t>
  </si>
  <si>
    <t>FTO/SnO₂/Cs₀.₀₅FA₀.₈₅MA₀.₁₀PbI₃/Spiro-OMeTAD/Au</t>
  </si>
  <si>
    <t>Development of an automated spin-coating system integrating a robot arm and precise antisolvent control, significantly reducing device performance variation and surface roughness compared to manual fabrication.</t>
  </si>
  <si>
    <t>10.1039/d4dd00075g</t>
  </si>
  <si>
    <t>Cakan et al.</t>
  </si>
  <si>
    <t>ITO/MeO-2PACz/MA₀.₀₃₅ FA₀.₇₈ Cs₀.₁₈₅ Pb(I₀.₈₆₃ Br₀.₁₃₂ Cl₀.₀₀₅)₃/C60/BCP/Ag</t>
  </si>
  <si>
    <t>Automated high-throughput screening and fabrication of triple-halide perovskite films with enhanced photo- and thermal-stability, achieving reproducible PCEs above 15.5% without interface or bulk passivation.</t>
  </si>
  <si>
    <t>ITO/MeO-2PACz/Cs₀.₂₂FA₀.₇₈Pb(I₀.₈₅Br₀.₁₅)₃/C60/BCP/Ag</t>
  </si>
  <si>
    <t>Same as above, but the data here concerns the reproducibility evaluation using a different perovskite  composition</t>
  </si>
  <si>
    <t>10.1039/d5el00007f</t>
  </si>
  <si>
    <t>FTO / SnO₂ / CsFAPbI₃ / OAI / spiro-OMeTAD / Au</t>
  </si>
  <si>
    <t>Use of automated spin-coating system combined with Bayesian optimization to efficiently optimize perovskite composition and process conditions, achieving improved reproducibility and highest PCE compared to manual methods.</t>
  </si>
  <si>
    <t>10.1038/s41560-021-00953-z</t>
  </si>
  <si>
    <t>Zhao et al.</t>
  </si>
  <si>
    <t>ITO/SnO₂–PEIE/PCBM/MnSO₄/MA₀.₁₀Cs₀.₀₅FA₀.₈₅Pb(I₀.₉₅Br₀.₀₅)₃/PDCBT/PTAA-BCF/Au</t>
  </si>
  <si>
    <t>Bilayer conducting polymer HTL (PDCBT/PTAA-BCF) achieving operational stability &gt;1400 h at 60–65 °C; high PCE with improved hole mobility and device stability at elevated temperatures</t>
  </si>
  <si>
    <t>10.1039/d4ee01432d</t>
  </si>
  <si>
    <t>ITO/SnO₂/FA₁₋ₓCsₓPb(I₁₋ₓClₓ)₃/Spiro-OMeTAD/Au</t>
  </si>
  <si>
    <t>Implementation of a fully automated device acceleration platform (SPINBOT) to precisely control and optimize critical process parameters (notably dripping speed of organic ammonium halide) in ambient air, enabling &gt;23% efficient additive-free perovskite solar cells with high reproducibility and state-of-the-art photo-thermal stability. This approach overcomes limitations of manual methods and advances practical scalable fabrication in ambient conditions</t>
  </si>
  <si>
    <t>10.1002/adfm.202503717</t>
  </si>
  <si>
    <t xml:space="preserve">Satale et al. </t>
  </si>
  <si>
    <t xml:space="preserve"> </t>
  </si>
  <si>
    <t>10.1002/smsc.202500362</t>
  </si>
  <si>
    <t>Pesch et al</t>
  </si>
  <si>
    <t>ITO/2PACz/Cs0.16FA0.65MA0.19Pb(I0.77Br0.17Cl0.06)3/PDAI2-BAI/C60/BCP/Ag</t>
  </si>
  <si>
    <t>hybrid process with Inkjet with PDAI2-BAI passivaion</t>
  </si>
  <si>
    <t>ITO/2PACz/Cs0.16FA0.65MA0.19Pb(I0.77Br0.17Cl0.06)3/LiF/C60/BCP/Ag</t>
  </si>
  <si>
    <t>hybrid process with Inkjet with LIF passiviatoin</t>
  </si>
  <si>
    <t>Si/ITO/2PACz/Cs0.18FA0.63MA0.19Pb(I0.76Br0.12Cl0.12)3/PDAI2-BAI/C60/SnO2/</t>
  </si>
  <si>
    <t>Tara et al</t>
  </si>
  <si>
    <t>10.1021/acsami.1c04407</t>
  </si>
  <si>
    <t>Pendyala et al</t>
  </si>
  <si>
    <r>
      <rPr>
        <sz val="11"/>
        <color theme="1"/>
        <rFont val="Aptos Narrow"/>
        <family val="2"/>
        <charset val="1"/>
      </rPr>
      <t>FTO/TiO2/NVC/Cs</t>
    </r>
    <r>
      <rPr>
        <vertAlign val="subscript"/>
        <sz val="11"/>
        <color rgb="FF000000"/>
        <rFont val="Aptos"/>
        <family val="2"/>
        <charset val="1"/>
      </rPr>
      <t>0.2</t>
    </r>
    <r>
      <rPr>
        <sz val="11"/>
        <color rgb="FF000000"/>
        <rFont val="Aptos"/>
        <family val="2"/>
        <charset val="1"/>
      </rPr>
      <t>FA</t>
    </r>
    <r>
      <rPr>
        <vertAlign val="subscript"/>
        <sz val="11"/>
        <color rgb="FF000000"/>
        <rFont val="Aptos"/>
        <family val="2"/>
        <charset val="1"/>
      </rPr>
      <t>0.8</t>
    </r>
    <r>
      <rPr>
        <sz val="11"/>
        <color rgb="FF000000"/>
        <rFont val="Aptos"/>
        <family val="2"/>
        <charset val="1"/>
      </rPr>
      <t>(PbI0</t>
    </r>
    <r>
      <rPr>
        <vertAlign val="subscript"/>
        <sz val="11"/>
        <color rgb="FF000000"/>
        <rFont val="Aptos"/>
        <family val="2"/>
        <charset val="1"/>
      </rPr>
      <t>.6</t>
    </r>
    <r>
      <rPr>
        <sz val="11"/>
        <color rgb="FF000000"/>
        <rFont val="Aptos"/>
        <family val="2"/>
        <charset val="1"/>
      </rPr>
      <t>Br</t>
    </r>
    <r>
      <rPr>
        <vertAlign val="subscript"/>
        <sz val="11"/>
        <color rgb="FF000000"/>
        <rFont val="Aptos"/>
        <family val="2"/>
        <charset val="1"/>
      </rPr>
      <t>0.4</t>
    </r>
    <r>
      <rPr>
        <sz val="11"/>
        <color rgb="FF000000"/>
        <rFont val="Aptos"/>
        <family val="2"/>
        <charset val="1"/>
      </rPr>
      <t>)</t>
    </r>
    <r>
      <rPr>
        <vertAlign val="subscript"/>
        <sz val="11"/>
        <color rgb="FF000000"/>
        <rFont val="Aptos"/>
        <family val="2"/>
        <charset val="1"/>
      </rPr>
      <t>3</t>
    </r>
    <r>
      <rPr>
        <sz val="11"/>
        <color rgb="FF000000"/>
        <rFont val="Aptos"/>
        <family val="2"/>
        <charset val="1"/>
      </rPr>
      <t>)/SPIRO/Au</t>
    </r>
  </si>
  <si>
    <t>ST devices 19.3% AVT; TritonX additive; dmf:dmso ink</t>
  </si>
  <si>
    <t>10.1002/solr.202200988</t>
  </si>
  <si>
    <r>
      <rPr>
        <sz val="11"/>
        <color theme="1"/>
        <rFont val="Aptos Narrow"/>
        <family val="2"/>
        <charset val="1"/>
      </rPr>
      <t>PEN/ITO/NiO2/NVC/Cs</t>
    </r>
    <r>
      <rPr>
        <vertAlign val="subscript"/>
        <sz val="11"/>
        <color rgb="FF000000"/>
        <rFont val="Aptos"/>
        <family val="2"/>
        <charset val="1"/>
      </rPr>
      <t>0.2</t>
    </r>
    <r>
      <rPr>
        <sz val="11"/>
        <color rgb="FF000000"/>
        <rFont val="Aptos"/>
        <family val="2"/>
        <charset val="1"/>
      </rPr>
      <t>FA</t>
    </r>
    <r>
      <rPr>
        <vertAlign val="subscript"/>
        <sz val="11"/>
        <color rgb="FF000000"/>
        <rFont val="Aptos"/>
        <family val="2"/>
        <charset val="1"/>
      </rPr>
      <t>0.8</t>
    </r>
    <r>
      <rPr>
        <sz val="11"/>
        <color rgb="FF000000"/>
        <rFont val="Aptos"/>
        <family val="2"/>
        <charset val="1"/>
      </rPr>
      <t>(PbI0</t>
    </r>
    <r>
      <rPr>
        <vertAlign val="subscript"/>
        <sz val="11"/>
        <color rgb="FF000000"/>
        <rFont val="Aptos"/>
        <family val="2"/>
        <charset val="1"/>
      </rPr>
      <t>.6</t>
    </r>
    <r>
      <rPr>
        <sz val="11"/>
        <color rgb="FF000000"/>
        <rFont val="Aptos"/>
        <family val="2"/>
        <charset val="1"/>
      </rPr>
      <t>Br</t>
    </r>
    <r>
      <rPr>
        <vertAlign val="subscript"/>
        <sz val="11"/>
        <color rgb="FF000000"/>
        <rFont val="Aptos"/>
        <family val="2"/>
        <charset val="1"/>
      </rPr>
      <t>0.4</t>
    </r>
    <r>
      <rPr>
        <sz val="11"/>
        <color rgb="FF000000"/>
        <rFont val="Aptos"/>
        <family val="2"/>
        <charset val="1"/>
      </rPr>
      <t>)</t>
    </r>
    <r>
      <rPr>
        <vertAlign val="subscript"/>
        <sz val="11"/>
        <color rgb="FF000000"/>
        <rFont val="Aptos"/>
        <family val="2"/>
        <charset val="1"/>
      </rPr>
      <t>3</t>
    </r>
    <r>
      <rPr>
        <sz val="11"/>
        <color rgb="FF000000"/>
        <rFont val="Aptos"/>
        <family val="2"/>
        <charset val="1"/>
      </rPr>
      <t>)/PCBVM/Au</t>
    </r>
  </si>
  <si>
    <t>ST devices 29.3% AVT; TritonX additive; dmf:dmso ink</t>
  </si>
  <si>
    <t>10.1016/j.cej.2024.152541</t>
  </si>
  <si>
    <t>DMI ink, 100°C anneaing</t>
  </si>
  <si>
    <t>DMI ink</t>
  </si>
  <si>
    <t>GBL</t>
  </si>
  <si>
    <t>DMI ink, 130°C anneaing</t>
  </si>
  <si>
    <t>DMI ink, 150°C anneaing</t>
  </si>
  <si>
    <t>DMI ink, 150°C anneaing; on 5x5cm² 6 cells</t>
  </si>
  <si>
    <t>10.1002/solr.201700217</t>
  </si>
  <si>
    <t>Liang et al</t>
  </si>
  <si>
    <t>glass/FTO/TiO2-c/TiO2-m/MAPI/Spiro/Au</t>
  </si>
  <si>
    <t>vacuum annealing</t>
  </si>
  <si>
    <t>10.1002/adfm.201905487</t>
  </si>
  <si>
    <t>glass/ito/ptaa/MAPbIBr/PCBM/BCP/Ag</t>
  </si>
  <si>
    <t>high throughput screening! Solvent DMF/DMSO</t>
  </si>
  <si>
    <t>0.1021/acsami.0c09485</t>
  </si>
  <si>
    <t>li et al</t>
  </si>
  <si>
    <t>glass/FTO/TiO2-c/C60/Cs0.05MA0.14FA0.81PbI2.55Br0.45/Spiro/Au</t>
  </si>
  <si>
    <t>dmf and nmp ink</t>
  </si>
  <si>
    <t>10.1016/j.nanoen.2018.01.049</t>
  </si>
  <si>
    <t>Ppengwei Li et al</t>
  </si>
  <si>
    <t>only PbI is IJP+MAI vapor</t>
  </si>
  <si>
    <t>https://doi.org/10.1002%2Fsolr.202400165</t>
  </si>
  <si>
    <t>Pesch, R. et al.,</t>
  </si>
  <si>
    <r>
      <rPr>
        <sz val="11"/>
        <color theme="1"/>
        <rFont val="Aptos Narrow"/>
        <family val="2"/>
        <charset val="1"/>
      </rPr>
      <t>MgF</t>
    </r>
    <r>
      <rPr>
        <vertAlign val="subscript"/>
        <sz val="11"/>
        <color theme="1"/>
        <rFont val="Aptos Narrow"/>
        <family val="2"/>
        <charset val="1"/>
      </rPr>
      <t>2</t>
    </r>
    <r>
      <rPr>
        <sz val="11"/>
        <color theme="1"/>
        <rFont val="Aptos Narrow"/>
        <family val="2"/>
        <charset val="1"/>
      </rPr>
      <t xml:space="preserve"> / Glass /  ITO / 2PACz / DMSO / </t>
    </r>
    <r>
      <rPr>
        <b/>
        <sz val="12"/>
        <color theme="1"/>
        <rFont val="Aptos Narrow"/>
        <family val="2"/>
        <charset val="1"/>
      </rPr>
      <t>Cs</t>
    </r>
    <r>
      <rPr>
        <b/>
        <vertAlign val="subscript"/>
        <sz val="12"/>
        <color theme="1"/>
        <rFont val="Aptos Narrow"/>
        <family val="2"/>
        <charset val="1"/>
      </rPr>
      <t>0.05</t>
    </r>
    <r>
      <rPr>
        <b/>
        <sz val="12"/>
        <color theme="1"/>
        <rFont val="Aptos Narrow"/>
        <family val="2"/>
        <charset val="1"/>
      </rPr>
      <t xml:space="preserve">MA </t>
    </r>
    <r>
      <rPr>
        <b/>
        <vertAlign val="subscript"/>
        <sz val="12"/>
        <color theme="1"/>
        <rFont val="Aptos Narrow"/>
        <family val="2"/>
        <charset val="1"/>
      </rPr>
      <t>0.28</t>
    </r>
    <r>
      <rPr>
        <b/>
        <sz val="12"/>
        <color theme="1"/>
        <rFont val="Aptos Narrow"/>
        <family val="2"/>
        <charset val="1"/>
      </rPr>
      <t xml:space="preserve"> FA </t>
    </r>
    <r>
      <rPr>
        <b/>
        <vertAlign val="subscript"/>
        <sz val="12"/>
        <color theme="1"/>
        <rFont val="Aptos Narrow"/>
        <family val="2"/>
        <charset val="1"/>
      </rPr>
      <t xml:space="preserve">0.67 </t>
    </r>
    <r>
      <rPr>
        <b/>
        <sz val="12"/>
        <color theme="1"/>
        <rFont val="Aptos Narrow"/>
        <family val="2"/>
        <charset val="1"/>
      </rPr>
      <t>Pb(Br</t>
    </r>
    <r>
      <rPr>
        <b/>
        <vertAlign val="subscript"/>
        <sz val="12"/>
        <color theme="1"/>
        <rFont val="Aptos Narrow"/>
        <family val="2"/>
        <charset val="1"/>
      </rPr>
      <t xml:space="preserve">0.03 </t>
    </r>
    <r>
      <rPr>
        <b/>
        <sz val="12"/>
        <color theme="1"/>
        <rFont val="Aptos Narrow"/>
        <family val="2"/>
        <charset val="1"/>
      </rPr>
      <t>Cl</t>
    </r>
    <r>
      <rPr>
        <b/>
        <vertAlign val="subscript"/>
        <sz val="12"/>
        <color theme="1"/>
        <rFont val="Aptos Narrow"/>
        <family val="2"/>
        <charset val="1"/>
      </rPr>
      <t>0.06</t>
    </r>
    <r>
      <rPr>
        <b/>
        <sz val="12"/>
        <color theme="1"/>
        <rFont val="Aptos Narrow"/>
        <family val="2"/>
        <charset val="1"/>
      </rPr>
      <t xml:space="preserve"> I</t>
    </r>
    <r>
      <rPr>
        <b/>
        <vertAlign val="subscript"/>
        <sz val="12"/>
        <color theme="1"/>
        <rFont val="Aptos Narrow"/>
        <family val="2"/>
        <charset val="1"/>
      </rPr>
      <t>0.91</t>
    </r>
    <r>
      <rPr>
        <b/>
        <sz val="12"/>
        <color theme="1"/>
        <rFont val="Aptos Narrow"/>
        <family val="2"/>
        <charset val="1"/>
      </rPr>
      <t>)</t>
    </r>
    <r>
      <rPr>
        <b/>
        <vertAlign val="subscript"/>
        <sz val="12"/>
        <color theme="1"/>
        <rFont val="Aptos Narrow"/>
        <family val="2"/>
        <charset val="1"/>
      </rPr>
      <t xml:space="preserve"> 3</t>
    </r>
    <r>
      <rPr>
        <sz val="11"/>
        <color theme="1"/>
        <rFont val="Aptos Narrow"/>
        <family val="2"/>
        <charset val="1"/>
      </rPr>
      <t xml:space="preserve"> / LiF / C</t>
    </r>
    <r>
      <rPr>
        <vertAlign val="subscript"/>
        <sz val="11"/>
        <color theme="1"/>
        <rFont val="Aptos Narrow"/>
        <family val="2"/>
        <charset val="1"/>
      </rPr>
      <t xml:space="preserve"> 60</t>
    </r>
    <r>
      <rPr>
        <sz val="11"/>
        <color theme="1"/>
        <rFont val="Aptos Narrow"/>
        <family val="2"/>
        <charset val="1"/>
      </rPr>
      <t xml:space="preserve"> / BCP / Silver.</t>
    </r>
  </si>
  <si>
    <t>• Hybrid two-step: First, evaporation of PbI₂; second, inkjet printing of the organic cation precursors. Also a DMSO vapor treatment to increase porosity of PbI₂ layer in order to facilitate intermixing.   •Optimization of printing parameters (print resolution, step sizes, head arrangement) to avoid inhomogeneities, improve stoichiometry, and improve reproducibility.</t>
  </si>
  <si>
    <t>https://doi.org/10.1021/acsami.4c20567</t>
  </si>
  <si>
    <t>Lu, Dongli.et al.,</t>
  </si>
  <si>
    <t>FTO/ SnOₓ/PbI2:FAI:PbBr2:MABr / spiro-OMeTAD/Au</t>
  </si>
  <si>
    <r>
      <rPr>
        <sz val="11"/>
        <color theme="1"/>
        <rFont val="Aptos Narrow"/>
        <family val="2"/>
        <charset val="1"/>
      </rPr>
      <t>•</t>
    </r>
    <r>
      <rPr>
        <sz val="11"/>
        <color rgb="FF000000"/>
        <rFont val="Aptos"/>
        <family val="2"/>
        <charset val="1"/>
      </rPr>
      <t>Scalable ambient-condition fabrication: One-step inkjet printing with in situ heat &amp; self-VA yielded uniform, large-grain perovskite films</t>
    </r>
  </si>
  <si>
    <t>Spin coating</t>
  </si>
  <si>
    <t>Evaporation</t>
  </si>
  <si>
    <t>Blade coating</t>
  </si>
  <si>
    <t>10.1038/s41467-024-46016-1</t>
  </si>
  <si>
    <t>Glass / ITO / SnO2 / FA0.4MA0.6PbI3 / Spiro-OMeTAD / C / Ag</t>
  </si>
  <si>
    <t>https://doi.org/10.1016/j.xcrp.2021.100639</t>
  </si>
  <si>
    <t>PET/ITO/SnO2/MAPbI3/P3HT/Au</t>
  </si>
  <si>
    <t>10.3390/coatings12121948</t>
  </si>
  <si>
    <t>PET / ITO / SnO2 / FA0.91Cs0.09PbI3 / Spiro-OMeTAD / Au</t>
  </si>
  <si>
    <t>10.1016/j.apmt.2019.03.001</t>
  </si>
  <si>
    <t>10.1039/C5NR08277C</t>
  </si>
  <si>
    <t>10.1002/solr.202400612</t>
  </si>
  <si>
    <t>PET / ITO / SnO2 / FAPbI3 / Spiro-OMeTAD / Au</t>
  </si>
  <si>
    <t>a camphorsulfonic-salified chitosan is specifically designed with the aid of DTF calculations to strongly interact with the perovskite and, as a result, improve the morphology and optoelectronic quality of the FAPbI3</t>
  </si>
  <si>
    <t>10.1038/s41467-020-18940-5</t>
  </si>
  <si>
    <t>PET / ITO / SnO2 / (FAPbI3)0.95(MAPbBr3)0.05 / Spiro-OMeTAD / Au</t>
  </si>
  <si>
    <t>pilot-scale, fully R2R gravure printing of all the layers except for electrodes in PSCs. Tert-butyl alcohol (tBuOH) is introduced as an eco-friendly antisolvent with a wide processing window</t>
  </si>
  <si>
    <t>PET / ITO / SnO2 / (FAPbI3)0.95(MAPbBr3)0.05 / P3HT / Au</t>
  </si>
  <si>
    <t>10.1002/solr.201900204</t>
  </si>
  <si>
    <t>PEN / ITO / SnO2 / MAFACs perovskite / Spiro-OMeTAD / Ag</t>
  </si>
  <si>
    <t>combination of R2R microgravure printing and slot-die coating under ambient conditions</t>
  </si>
  <si>
    <t>10.1002/advs.201802094</t>
  </si>
  <si>
    <t>PET / ITO / SnO2 / MAPbI3 / Spiro-OMeTAD / Ag</t>
  </si>
  <si>
    <t>first time the fabrication of all-printed PSCs with a n-i-p structure on flexible substrates using gravure printing</t>
  </si>
  <si>
    <t>PET / ITO / SnO2 / MAPbI3 / P3HT / Ag</t>
  </si>
  <si>
    <t>Hasitha C. Weerasinghe,  Doojin Vak, et al.</t>
  </si>
  <si>
    <t>Francesco Bisconti, Aurora Rizzo, et al.</t>
  </si>
  <si>
    <t>T. A. Nirmal Peiris,  Jacek Jasieniak, et al.</t>
  </si>
  <si>
    <t>Nadir Vanni,  Aurora Rizzo, et al.</t>
  </si>
  <si>
    <t>Young Yun Kim, T Jangwon Seo, et al.</t>
  </si>
  <si>
    <t>Chendi Gong, Junliang Yang, et al.</t>
  </si>
  <si>
    <t>Young Yun Kim,  Jangwon Seo, et al.</t>
  </si>
  <si>
    <t>Gravure</t>
  </si>
  <si>
    <t>10.1038/s41528-025-00407-6</t>
  </si>
  <si>
    <t>10.1002/anie.202501350</t>
  </si>
  <si>
    <t>10.1002/anie.202425162</t>
  </si>
  <si>
    <t>Screen printing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</si>
</sst>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
  </numFmts>
  <fonts count="20">
    <font>
      <sz val="11"/>
      <color theme="1"/>
      <name val="Aptos Narrow"/>
      <family val="2"/>
      <charset val="1"/>
    </font>
    <font>
      <b/>
      <sz val="11"/>
      <color theme="1"/>
      <name val="Aptos Narrow"/>
      <charset val="1"/>
    </font>
    <font>
      <u/>
      <sz val="11"/>
      <color theme="10"/>
      <name val="Aptos Narrow"/>
      <family val="2"/>
      <charset val="1"/>
    </font>
    <font>
      <sz val="12"/>
      <color theme="1"/>
      <name val="Times New Roman"/>
      <family val="1"/>
      <charset val="1"/>
    </font>
    <font>
      <sz val="12"/>
      <color rgb="FF000000"/>
      <name val="Times New Roman"/>
      <family val="1"/>
      <charset val="1"/>
    </font>
    <font>
      <sz val="11"/>
      <color theme="1"/>
      <name val="Noto Sans SC Regular"/>
      <family val="2"/>
    </font>
    <font>
      <sz val="11"/>
      <color theme="1"/>
      <name val="Aptos Narrow"/>
      <charset val="1"/>
    </font>
    <font>
      <sz val="14"/>
      <color rgb="FF000000"/>
      <name val="Arial"/>
      <family val="2"/>
      <charset val="1"/>
    </font>
    <font>
      <sz val="11"/>
      <name val="Calibri"/>
      <family val="2"/>
      <charset val="1"/>
    </font>
    <font>
      <sz val="9"/>
      <color rgb="FF000000"/>
      <name val="AdvOTe166e003.B"/>
      <charset val="1"/>
    </font>
    <font>
      <vertAlign val="subscript"/>
      <sz val="11"/>
      <color rgb="FF000000"/>
      <name val="Aptos"/>
      <family val="2"/>
      <charset val="1"/>
    </font>
    <font>
      <sz val="11"/>
      <color rgb="FF000000"/>
      <name val="Aptos"/>
      <family val="2"/>
      <charset val="1"/>
    </font>
    <font>
      <b/>
      <sz val="11"/>
      <color theme="1"/>
      <name val="Aptos Narrow"/>
      <family val="2"/>
      <charset val="1"/>
    </font>
    <font>
      <vertAlign val="subscript"/>
      <sz val="11"/>
      <color theme="1"/>
      <name val="Aptos Narrow"/>
      <family val="2"/>
      <charset val="1"/>
    </font>
    <font>
      <b/>
      <sz val="12"/>
      <color theme="1"/>
      <name val="Aptos Narrow"/>
      <family val="2"/>
      <charset val="1"/>
    </font>
    <font>
      <b/>
      <vertAlign val="subscript"/>
      <sz val="12"/>
      <color theme="1"/>
      <name val="Aptos Narrow"/>
      <family val="2"/>
      <charset val="1"/>
    </font>
    <font>
      <sz val="11"/>
      <color theme="1"/>
      <name val="Aptos Narrow"/>
      <family val="2"/>
      <charset val="1"/>
    </font>
    <font>
      <sz val="11"/>
      <color rgb="FF006100"/>
      <name val="Aptos Narrow"/>
      <family val="2"/>
      <charset val="1"/>
    </font>
    <font>
      <sz val="11"/>
      <color theme="1"/>
      <name val="Calibri"/>
      <family val="2"/>
      <charset val="1"/>
    </font>
    <font>
      <sz val="10"/>
      <color rgb="FF000000"/>
      <name val="Arial"/>
    </font>
  </fonts>
  <fills count="5">
    <fill>
      <patternFill patternType="none"/>
    </fill>
    <fill>
      <patternFill patternType="gray125"/>
    </fill>
    <fill>
      <patternFill patternType="solid">
        <fgColor theme="7" tint="0.79989013336588644"/>
        <bgColor rgb="FFCCFFFF"/>
      </patternFill>
    </fill>
    <fill>
      <patternFill patternType="solid">
        <fgColor theme="9" tint="0.79989013336588644"/>
        <bgColor rgb="FFCAEEFB"/>
      </patternFill>
    </fill>
    <fill>
      <patternFill patternType="solid">
        <fgColor rgb="FFC6EFCE"/>
        <bgColor rgb="FFCCFFFF"/>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4">
    <xf numFmtId="0" fontId="0" fillId="0" borderId="0"/>
    <xf numFmtId="0" fontId="2" fillId="0" borderId="0" applyBorder="0" applyProtection="0"/>
    <xf numFmtId="0" fontId="17" fillId="4" borderId="0" applyBorder="0" applyProtection="0"/>
    <xf numFmtId="0" fontId="16" fillId="0" borderId="0" applyBorder="0" applyProtection="0"/>
  </cellStyleXfs>
  <cellXfs count="39">
    <xf numFmtId="0" fontId="0" fillId="0" borderId="0" xfId="0"/>
    <xf numFmtId="0" fontId="1" fillId="0" borderId="0" xfId="0" applyFont="1"/>
    <xf numFmtId="0" fontId="2" fillId="0" borderId="0" xfId="1" applyBorder="1" applyProtection="1"/>
    <xf numFmtId="0" fontId="0" fillId="0" borderId="0" xfId="0" applyAlignment="1">
      <alignment wrapText="1"/>
    </xf>
    <xf numFmtId="0" fontId="4" fillId="0" borderId="0" xfId="0" applyFont="1" applyAlignment="1">
      <alignment wrapText="1"/>
    </xf>
    <xf numFmtId="0" fontId="6" fillId="0" borderId="0" xfId="0" applyFont="1"/>
    <xf numFmtId="0" fontId="7" fillId="0" borderId="0" xfId="0" applyFont="1" applyAlignment="1">
      <alignment horizontal="left" vertical="center" readingOrder="1"/>
    </xf>
    <xf numFmtId="0" fontId="8" fillId="0" borderId="0" xfId="0" applyFont="1"/>
    <xf numFmtId="0" fontId="8" fillId="0" borderId="0" xfId="1" applyFont="1" applyBorder="1" applyProtection="1"/>
    <xf numFmtId="0" fontId="0" fillId="2" borderId="0" xfId="0" applyFill="1"/>
    <xf numFmtId="0" fontId="3" fillId="2" borderId="0" xfId="0" applyFont="1" applyFill="1"/>
    <xf numFmtId="0" fontId="9" fillId="2" borderId="0" xfId="0" applyFont="1" applyFill="1"/>
    <xf numFmtId="0" fontId="12" fillId="2" borderId="0" xfId="0" applyFont="1" applyFill="1"/>
    <xf numFmtId="0" fontId="2" fillId="3" borderId="0" xfId="1" applyFill="1" applyBorder="1" applyAlignment="1" applyProtection="1">
      <alignment horizontal="center" vertical="center" wrapText="1"/>
    </xf>
    <xf numFmtId="0" fontId="0" fillId="3" borderId="0" xfId="0" applyFill="1" applyAlignment="1">
      <alignment horizontal="center" vertical="center" wrapText="1"/>
    </xf>
    <xf numFmtId="164" fontId="0" fillId="3" borderId="0" xfId="0" applyNumberFormat="1" applyFill="1" applyAlignment="1">
      <alignment horizontal="center" vertical="center" wrapText="1"/>
    </xf>
    <xf numFmtId="2" fontId="1" fillId="0" borderId="0" xfId="0" applyNumberFormat="1" applyFont="1"/>
    <xf numFmtId="2" fontId="0" fillId="0" borderId="0" xfId="0" applyNumberFormat="1"/>
    <xf numFmtId="2" fontId="0" fillId="0" borderId="0" xfId="0" applyNumberFormat="1" applyAlignment="1">
      <alignment horizontal="right"/>
    </xf>
    <xf numFmtId="2" fontId="0" fillId="2" borderId="0" xfId="0" applyNumberFormat="1" applyFill="1"/>
    <xf numFmtId="2" fontId="0" fillId="3" borderId="0" xfId="0" applyNumberFormat="1" applyFill="1" applyAlignment="1">
      <alignment horizontal="center" vertical="center" wrapText="1"/>
    </xf>
    <xf numFmtId="2" fontId="2" fillId="3" borderId="0" xfId="1" applyNumberFormat="1" applyFill="1" applyBorder="1" applyAlignment="1" applyProtection="1">
      <alignment horizontal="center" vertical="center" wrapText="1"/>
    </xf>
    <xf numFmtId="1" fontId="1" fillId="0" borderId="0" xfId="0" applyNumberFormat="1" applyFont="1"/>
    <xf numFmtId="1" fontId="0" fillId="0" borderId="0" xfId="0" applyNumberFormat="1"/>
    <xf numFmtId="1" fontId="0" fillId="2" borderId="0" xfId="0" applyNumberFormat="1" applyFill="1"/>
    <xf numFmtId="1" fontId="0" fillId="3" borderId="0" xfId="0" applyNumberFormat="1" applyFill="1" applyAlignment="1">
      <alignment horizontal="center" vertical="center" wrapText="1"/>
    </xf>
    <xf numFmtId="0" fontId="17" fillId="4" borderId="1" xfId="2" applyBorder="1" applyProtection="1"/>
    <xf numFmtId="0" fontId="0" fillId="0" borderId="1" xfId="0" applyBorder="1" applyAlignment="1">
      <alignment wrapText="1"/>
    </xf>
    <xf numFmtId="0" fontId="0" fillId="0" borderId="1" xfId="0" applyBorder="1"/>
    <xf numFmtId="0" fontId="17" fillId="4" borderId="0" xfId="2" applyBorder="1" applyProtection="1"/>
    <xf numFmtId="0" fontId="0" fillId="0" borderId="0" xfId="0" applyAlignment="1">
      <alignment vertical="top" wrapText="1"/>
    </xf>
    <xf numFmtId="0" fontId="2" fillId="0" borderId="1" xfId="1" applyBorder="1" applyProtection="1"/>
    <xf numFmtId="0" fontId="17" fillId="4" borderId="2" xfId="2" applyBorder="1" applyProtection="1"/>
    <xf numFmtId="0" fontId="0" fillId="0" borderId="2" xfId="0" applyBorder="1" applyAlignment="1">
      <alignment wrapText="1"/>
    </xf>
    <xf numFmtId="0" fontId="0" fillId="0" borderId="2" xfId="0" applyBorder="1"/>
    <xf numFmtId="0" fontId="2" fillId="0" borderId="2" xfId="1" applyBorder="1" applyProtection="1"/>
    <xf numFmtId="0" fontId="18" fillId="0" borderId="0" xfId="3" applyFont="1"/>
    <xf numFmtId="0" fontId="0" fillId="0" borderId="0" xfId="0" applyFill="1" applyBorder="1" applyAlignment="1">
      <alignment wrapText="1"/>
    </xf>
    <xf numFmtId="0" fontId="19" fillId="0" borderId="0" xfId="0" applyFont="1" applyAlignment="1">
      <alignment horizontal="right" wrapText="1"/>
    </xf>
  </cellXfs>
  <cellStyles count="4">
    <cellStyle name="Default" xfId="3" xr:uid="{A8D3A056-3CAE-47D8-86E3-C300249D51A3}"/>
    <cellStyle name="Excel Built-in Good" xfId="2" xr:uid="{FF3D1FEB-DCD3-4DED-9515-1DB89921F11E}"/>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07/s40684-022-00485-1" TargetMode="External"/><Relationship Id="rId18" Type="http://schemas.openxmlformats.org/officeDocument/2006/relationships/hyperlink" Target="https://doi.org/10.1126/science.add7331" TargetMode="External"/><Relationship Id="rId26" Type="http://schemas.openxmlformats.org/officeDocument/2006/relationships/hyperlink" Target="https://doi.org/10.1016/j.cej.2024.152541" TargetMode="External"/><Relationship Id="rId39" Type="http://schemas.openxmlformats.org/officeDocument/2006/relationships/hyperlink" Target="https://doi.org/10.1016/j.apmt.2019.03.001" TargetMode="External"/><Relationship Id="rId21" Type="http://schemas.openxmlformats.org/officeDocument/2006/relationships/hyperlink" Target="https://doi.org/10.1002/aenm.202203468" TargetMode="External"/><Relationship Id="rId34" Type="http://schemas.openxmlformats.org/officeDocument/2006/relationships/hyperlink" Target="https://doi.org/10.1002%2Fsolr.202400165" TargetMode="External"/><Relationship Id="rId42" Type="http://schemas.openxmlformats.org/officeDocument/2006/relationships/hyperlink" Target="https://doi.org/10.1002/solr.201900204" TargetMode="External"/><Relationship Id="rId7" Type="http://schemas.openxmlformats.org/officeDocument/2006/relationships/hyperlink" Target="https://doi.org/10.1007/s11664-022-09459-0" TargetMode="External"/><Relationship Id="rId2" Type="http://schemas.openxmlformats.org/officeDocument/2006/relationships/hyperlink" Target="https://doi.org/10.1016/j.cplett.2022.140084" TargetMode="External"/><Relationship Id="rId16" Type="http://schemas.openxmlformats.org/officeDocument/2006/relationships/hyperlink" Target="https://doi.org/10.1002/solr.202300814" TargetMode="External"/><Relationship Id="rId20" Type="http://schemas.openxmlformats.org/officeDocument/2006/relationships/hyperlink" Target="https://doi.org/10.1126/science.adf0194" TargetMode="External"/><Relationship Id="rId29" Type="http://schemas.openxmlformats.org/officeDocument/2006/relationships/hyperlink" Target="https://doi.org/10.1016/j.cej.2024.152541" TargetMode="External"/><Relationship Id="rId41" Type="http://schemas.openxmlformats.org/officeDocument/2006/relationships/hyperlink" Target="https://doi.org/10.1002/solr.202400612" TargetMode="External"/><Relationship Id="rId1" Type="http://schemas.openxmlformats.org/officeDocument/2006/relationships/hyperlink" Target="https://pubs.acs.org/action/showCitFormats?doi=10.1021/acsami.5c00941&amp;ref=pdf" TargetMode="External"/><Relationship Id="rId6" Type="http://schemas.openxmlformats.org/officeDocument/2006/relationships/hyperlink" Target="https://doi.org/10.1021/acsami.1c21644" TargetMode="External"/><Relationship Id="rId11" Type="http://schemas.openxmlformats.org/officeDocument/2006/relationships/hyperlink" Target="https://doi.org/10.1021/acsaem.3c02726" TargetMode="External"/><Relationship Id="rId24" Type="http://schemas.openxmlformats.org/officeDocument/2006/relationships/hyperlink" Target="https://doi.org/10.1016/j.cej.2024.152541" TargetMode="External"/><Relationship Id="rId32" Type="http://schemas.openxmlformats.org/officeDocument/2006/relationships/hyperlink" Target="https://doi.org/10.1016/j.nanoen.2018.01.049" TargetMode="External"/><Relationship Id="rId37" Type="http://schemas.openxmlformats.org/officeDocument/2006/relationships/hyperlink" Target="https://doi.org/10.1016/j.xcrp.2021.100639" TargetMode="External"/><Relationship Id="rId40" Type="http://schemas.openxmlformats.org/officeDocument/2006/relationships/hyperlink" Target="https://doi.org/10.1039/C5NR08277C" TargetMode="External"/><Relationship Id="rId5" Type="http://schemas.openxmlformats.org/officeDocument/2006/relationships/hyperlink" Target="https://doi.org/10.1021/acsami.1c21644" TargetMode="External"/><Relationship Id="rId15" Type="http://schemas.openxmlformats.org/officeDocument/2006/relationships/hyperlink" Target="https://doi.org/10.1016/j.solener.2024.112738" TargetMode="External"/><Relationship Id="rId23" Type="http://schemas.openxmlformats.org/officeDocument/2006/relationships/hyperlink" Target="https://doi.org/10.1126/science.aaf8060" TargetMode="External"/><Relationship Id="rId28" Type="http://schemas.openxmlformats.org/officeDocument/2006/relationships/hyperlink" Target="https://doi.org/10.1016/j.cej.2024.152541" TargetMode="External"/><Relationship Id="rId36" Type="http://schemas.openxmlformats.org/officeDocument/2006/relationships/hyperlink" Target="https://pubmed.ncbi.nlm.nih.gov/40299421/?utm_source=chatgpt.com" TargetMode="External"/><Relationship Id="rId10" Type="http://schemas.openxmlformats.org/officeDocument/2006/relationships/hyperlink" Target="https://doi.org/10.1016/j.mtener.2023.101453" TargetMode="External"/><Relationship Id="rId19" Type="http://schemas.openxmlformats.org/officeDocument/2006/relationships/hyperlink" Target="https://doi.org/10.1002/solr.202100386" TargetMode="External"/><Relationship Id="rId31" Type="http://schemas.openxmlformats.org/officeDocument/2006/relationships/hyperlink" Target="https://doi.org/10.1016/j.cej.2024.152541" TargetMode="External"/><Relationship Id="rId44" Type="http://schemas.openxmlformats.org/officeDocument/2006/relationships/printerSettings" Target="../printerSettings/printerSettings1.bin"/><Relationship Id="rId4" Type="http://schemas.openxmlformats.org/officeDocument/2006/relationships/hyperlink" Target="https://doi.org/10.1021/acsami.5c14396" TargetMode="External"/><Relationship Id="rId9" Type="http://schemas.openxmlformats.org/officeDocument/2006/relationships/hyperlink" Target="https://doi.org/10.1021/acsaem.3c00491" TargetMode="External"/><Relationship Id="rId14" Type="http://schemas.openxmlformats.org/officeDocument/2006/relationships/hyperlink" Target="https://doi.org/10.1021/acsaem.1c03485" TargetMode="External"/><Relationship Id="rId22" Type="http://schemas.openxmlformats.org/officeDocument/2006/relationships/hyperlink" Target="https://doi.org/10.1021/acsenergylett.5c02366" TargetMode="External"/><Relationship Id="rId27" Type="http://schemas.openxmlformats.org/officeDocument/2006/relationships/hyperlink" Target="https://doi.org/10.1016/j.cej.2024.152541" TargetMode="External"/><Relationship Id="rId30" Type="http://schemas.openxmlformats.org/officeDocument/2006/relationships/hyperlink" Target="https://doi.org/10.1016/j.cej.2024.152541" TargetMode="External"/><Relationship Id="rId35" Type="http://schemas.openxmlformats.org/officeDocument/2006/relationships/hyperlink" Target="https://doi.org/10.1002%2Fsolr.202400165" TargetMode="External"/><Relationship Id="rId43" Type="http://schemas.openxmlformats.org/officeDocument/2006/relationships/hyperlink" Target="https://doi.org/10.1016/j.xcrp.2021.100639" TargetMode="External"/><Relationship Id="rId8" Type="http://schemas.openxmlformats.org/officeDocument/2006/relationships/hyperlink" Target="https://doi.org/10.1002/advs.202104848" TargetMode="External"/><Relationship Id="rId3" Type="http://schemas.openxmlformats.org/officeDocument/2006/relationships/hyperlink" Target="https://doi.org/10.1016/j.colsurfa.2024.135508" TargetMode="External"/><Relationship Id="rId12" Type="http://schemas.openxmlformats.org/officeDocument/2006/relationships/hyperlink" Target="https://doi.org/10.1021/acsaem.3c02726" TargetMode="External"/><Relationship Id="rId17" Type="http://schemas.openxmlformats.org/officeDocument/2006/relationships/hyperlink" Target="https://doi.org/10.1038/s41566-025-01703-3" TargetMode="External"/><Relationship Id="rId25" Type="http://schemas.openxmlformats.org/officeDocument/2006/relationships/hyperlink" Target="https://doi.org/10.1016/j.cej.2024.152541" TargetMode="External"/><Relationship Id="rId33" Type="http://schemas.openxmlformats.org/officeDocument/2006/relationships/hyperlink" Target="https://doi.org/10.1016/j.nanoen.2018.01.049" TargetMode="External"/><Relationship Id="rId38" Type="http://schemas.openxmlformats.org/officeDocument/2006/relationships/hyperlink" Target="https://doi.org/10.3390/coatings121219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4"/>
  <sheetViews>
    <sheetView tabSelected="1" topLeftCell="A157" zoomScaleNormal="100" workbookViewId="0">
      <selection activeCell="G166" sqref="G166"/>
    </sheetView>
  </sheetViews>
  <sheetFormatPr defaultColWidth="8.5" defaultRowHeight="14.25"/>
  <cols>
    <col min="1" max="1" width="30.375" customWidth="1"/>
    <col min="2" max="2" width="24.25" customWidth="1"/>
    <col min="3" max="3" width="9.25" style="23" customWidth="1"/>
    <col min="4" max="4" width="8.5" style="17"/>
    <col min="5" max="5" width="11.75" style="17" customWidth="1"/>
    <col min="6" max="6" width="8.5" style="17"/>
    <col min="7" max="7" width="31.875" bestFit="1" customWidth="1"/>
    <col min="8" max="8" width="10.25" customWidth="1"/>
    <col min="9" max="9" width="46.25" customWidth="1"/>
    <col min="10" max="10" width="255.625" bestFit="1" customWidth="1"/>
  </cols>
  <sheetData>
    <row r="1" spans="1:10" s="1" customFormat="1" ht="15">
      <c r="A1" s="1" t="s">
        <v>0</v>
      </c>
      <c r="B1" s="1" t="s">
        <v>1</v>
      </c>
      <c r="C1" s="22" t="s">
        <v>2</v>
      </c>
      <c r="D1" s="16" t="s">
        <v>3</v>
      </c>
      <c r="E1" s="16" t="s">
        <v>4</v>
      </c>
      <c r="F1" s="16" t="s">
        <v>5</v>
      </c>
      <c r="G1" s="1" t="s">
        <v>6</v>
      </c>
      <c r="H1" s="1" t="s">
        <v>7</v>
      </c>
      <c r="I1" s="1" t="s">
        <v>8</v>
      </c>
      <c r="J1" s="1" t="s">
        <v>9</v>
      </c>
    </row>
    <row r="2" spans="1:10">
      <c r="A2" s="2" t="s">
        <v>10</v>
      </c>
      <c r="B2" t="s">
        <v>11</v>
      </c>
      <c r="C2" s="23">
        <v>2025</v>
      </c>
      <c r="F2" s="17">
        <f>4/10</f>
        <v>0.4</v>
      </c>
      <c r="G2" t="s">
        <v>12</v>
      </c>
      <c r="I2" t="s">
        <v>13</v>
      </c>
      <c r="J2" t="s">
        <v>14</v>
      </c>
    </row>
    <row r="3" spans="1:10">
      <c r="A3" s="2" t="s">
        <v>15</v>
      </c>
      <c r="B3" t="s">
        <v>16</v>
      </c>
      <c r="C3" s="23">
        <v>2022</v>
      </c>
      <c r="D3" s="17">
        <v>18.260000000000002</v>
      </c>
      <c r="F3" s="17">
        <v>0.15</v>
      </c>
      <c r="G3" t="s">
        <v>12</v>
      </c>
      <c r="H3" t="s">
        <v>17</v>
      </c>
      <c r="I3" t="s">
        <v>18</v>
      </c>
      <c r="J3" t="s">
        <v>19</v>
      </c>
    </row>
    <row r="4" spans="1:10">
      <c r="A4" t="s">
        <v>20</v>
      </c>
      <c r="B4" t="s">
        <v>21</v>
      </c>
      <c r="C4" s="23">
        <v>2025</v>
      </c>
      <c r="D4" s="17">
        <v>23.3</v>
      </c>
      <c r="E4" s="17">
        <f>MEDIAN(D4:D6)</f>
        <v>19.27</v>
      </c>
      <c r="F4" s="17">
        <v>0.04</v>
      </c>
      <c r="G4" t="s">
        <v>12</v>
      </c>
      <c r="H4" t="s">
        <v>17</v>
      </c>
      <c r="I4" t="s">
        <v>22</v>
      </c>
      <c r="J4" t="s">
        <v>23</v>
      </c>
    </row>
    <row r="5" spans="1:10">
      <c r="A5" t="s">
        <v>20</v>
      </c>
      <c r="B5" t="s">
        <v>21</v>
      </c>
      <c r="C5" s="23">
        <v>2025</v>
      </c>
      <c r="D5" s="17">
        <v>16.940000000000001</v>
      </c>
      <c r="F5" s="17">
        <v>0.04</v>
      </c>
      <c r="G5" t="s">
        <v>12</v>
      </c>
      <c r="H5" t="s">
        <v>17</v>
      </c>
      <c r="I5" t="s">
        <v>22</v>
      </c>
    </row>
    <row r="6" spans="1:10">
      <c r="A6" t="s">
        <v>20</v>
      </c>
      <c r="B6" t="s">
        <v>21</v>
      </c>
      <c r="C6" s="23">
        <v>2025</v>
      </c>
      <c r="D6" s="17">
        <v>19.27</v>
      </c>
      <c r="F6" s="17">
        <v>0.04</v>
      </c>
      <c r="G6" t="s">
        <v>12</v>
      </c>
      <c r="H6" t="s">
        <v>17</v>
      </c>
      <c r="I6" t="s">
        <v>22</v>
      </c>
    </row>
    <row r="7" spans="1:10">
      <c r="A7" t="s">
        <v>20</v>
      </c>
      <c r="B7" t="s">
        <v>21</v>
      </c>
      <c r="C7" s="23">
        <v>2025</v>
      </c>
      <c r="D7" s="17">
        <v>17.739999999999998</v>
      </c>
      <c r="F7" s="17">
        <v>2.02</v>
      </c>
      <c r="G7" t="s">
        <v>12</v>
      </c>
      <c r="H7" t="s">
        <v>17</v>
      </c>
      <c r="I7" t="s">
        <v>22</v>
      </c>
    </row>
    <row r="8" spans="1:10">
      <c r="A8" t="s">
        <v>24</v>
      </c>
      <c r="B8" t="s">
        <v>25</v>
      </c>
      <c r="C8" s="23">
        <v>2024</v>
      </c>
      <c r="D8" s="17">
        <v>22.7</v>
      </c>
      <c r="E8" s="17">
        <f>MEDIAN(D8:D11)</f>
        <v>23.445</v>
      </c>
      <c r="G8" t="s">
        <v>396</v>
      </c>
      <c r="H8" t="s">
        <v>17</v>
      </c>
      <c r="I8" t="s">
        <v>26</v>
      </c>
      <c r="J8" s="3" t="s">
        <v>27</v>
      </c>
    </row>
    <row r="9" spans="1:10">
      <c r="A9" t="s">
        <v>24</v>
      </c>
      <c r="B9" t="s">
        <v>25</v>
      </c>
      <c r="C9" s="23">
        <v>2024</v>
      </c>
      <c r="D9" s="17">
        <v>22.52</v>
      </c>
      <c r="G9" t="s">
        <v>396</v>
      </c>
      <c r="H9" t="s">
        <v>17</v>
      </c>
      <c r="I9" t="s">
        <v>26</v>
      </c>
    </row>
    <row r="10" spans="1:10">
      <c r="A10" t="s">
        <v>24</v>
      </c>
      <c r="B10" t="s">
        <v>25</v>
      </c>
      <c r="C10" s="23">
        <v>2024</v>
      </c>
      <c r="D10" s="17">
        <v>24.57</v>
      </c>
      <c r="G10" t="s">
        <v>396</v>
      </c>
      <c r="H10" t="s">
        <v>17</v>
      </c>
      <c r="I10" t="s">
        <v>26</v>
      </c>
    </row>
    <row r="11" spans="1:10">
      <c r="A11" t="s">
        <v>24</v>
      </c>
      <c r="B11" t="s">
        <v>25</v>
      </c>
      <c r="C11" s="23">
        <v>2024</v>
      </c>
      <c r="D11" s="17">
        <v>24.19</v>
      </c>
      <c r="G11" t="s">
        <v>396</v>
      </c>
      <c r="H11" t="s">
        <v>17</v>
      </c>
      <c r="I11" t="s">
        <v>26</v>
      </c>
    </row>
    <row r="12" spans="1:10">
      <c r="A12" t="s">
        <v>28</v>
      </c>
      <c r="B12" t="s">
        <v>29</v>
      </c>
      <c r="C12" s="23">
        <v>2024</v>
      </c>
      <c r="J12" t="s">
        <v>30</v>
      </c>
    </row>
    <row r="13" spans="1:10" ht="28.5">
      <c r="A13" s="2" t="s">
        <v>35</v>
      </c>
      <c r="B13" t="s">
        <v>36</v>
      </c>
      <c r="C13" s="23">
        <v>2025</v>
      </c>
      <c r="D13" s="17">
        <v>14.9</v>
      </c>
      <c r="E13" s="17">
        <v>11.28</v>
      </c>
      <c r="F13" s="17">
        <v>0.09</v>
      </c>
      <c r="G13" t="s">
        <v>37</v>
      </c>
      <c r="H13" t="s">
        <v>17</v>
      </c>
      <c r="I13" s="3" t="s">
        <v>38</v>
      </c>
      <c r="J13" s="3" t="s">
        <v>39</v>
      </c>
    </row>
    <row r="14" spans="1:10">
      <c r="A14" t="s">
        <v>40</v>
      </c>
      <c r="B14" t="s">
        <v>41</v>
      </c>
      <c r="C14" s="23">
        <v>2025</v>
      </c>
      <c r="D14" s="17">
        <v>18.63</v>
      </c>
      <c r="E14" s="17">
        <v>17</v>
      </c>
      <c r="F14" s="17">
        <v>0.125</v>
      </c>
      <c r="G14" t="s">
        <v>37</v>
      </c>
      <c r="H14" t="s">
        <v>17</v>
      </c>
      <c r="I14" s="3" t="s">
        <v>42</v>
      </c>
      <c r="J14" s="3" t="s">
        <v>43</v>
      </c>
    </row>
    <row r="15" spans="1:10" ht="28.5">
      <c r="A15" t="s">
        <v>44</v>
      </c>
      <c r="B15" t="s">
        <v>45</v>
      </c>
      <c r="C15" s="23">
        <v>2025</v>
      </c>
      <c r="D15" s="17">
        <v>10.119999999999999</v>
      </c>
      <c r="F15" s="17">
        <v>0.09</v>
      </c>
      <c r="G15" t="s">
        <v>37</v>
      </c>
      <c r="H15" t="s">
        <v>17</v>
      </c>
      <c r="I15" s="3" t="s">
        <v>46</v>
      </c>
      <c r="J15" s="3"/>
    </row>
    <row r="16" spans="1:10">
      <c r="A16" t="s">
        <v>47</v>
      </c>
      <c r="B16" t="s">
        <v>48</v>
      </c>
      <c r="C16" s="23">
        <v>2025</v>
      </c>
      <c r="D16" s="17">
        <v>12.91</v>
      </c>
      <c r="G16" t="s">
        <v>37</v>
      </c>
      <c r="H16" t="s">
        <v>17</v>
      </c>
      <c r="I16" s="3" t="s">
        <v>49</v>
      </c>
      <c r="J16" s="3" t="s">
        <v>50</v>
      </c>
    </row>
    <row r="17" spans="1:10" ht="28.5">
      <c r="A17" t="s">
        <v>51</v>
      </c>
      <c r="B17" t="s">
        <v>52</v>
      </c>
      <c r="C17" s="23">
        <v>2025</v>
      </c>
      <c r="D17" s="17">
        <v>19.600000000000001</v>
      </c>
      <c r="E17" s="17">
        <v>16.600000000000001</v>
      </c>
      <c r="F17" s="17">
        <v>2.5000000000000001E-2</v>
      </c>
      <c r="G17" t="s">
        <v>37</v>
      </c>
      <c r="H17" t="s">
        <v>17</v>
      </c>
      <c r="I17" s="3" t="s">
        <v>53</v>
      </c>
      <c r="J17" s="3" t="s">
        <v>54</v>
      </c>
    </row>
    <row r="18" spans="1:10" ht="28.5">
      <c r="A18" t="s">
        <v>51</v>
      </c>
      <c r="B18" t="s">
        <v>52</v>
      </c>
      <c r="C18" s="23">
        <v>2025</v>
      </c>
      <c r="D18" s="17">
        <v>16.3</v>
      </c>
      <c r="E18" s="17">
        <v>10.3</v>
      </c>
      <c r="F18" s="17">
        <v>0.154</v>
      </c>
      <c r="G18" t="s">
        <v>37</v>
      </c>
      <c r="H18" t="s">
        <v>17</v>
      </c>
      <c r="I18" s="3" t="s">
        <v>53</v>
      </c>
      <c r="J18" s="3" t="s">
        <v>54</v>
      </c>
    </row>
    <row r="19" spans="1:10">
      <c r="A19" t="s">
        <v>55</v>
      </c>
      <c r="B19" t="s">
        <v>56</v>
      </c>
      <c r="C19" s="23">
        <v>2025</v>
      </c>
      <c r="D19" s="17">
        <v>5.63</v>
      </c>
      <c r="G19" t="s">
        <v>37</v>
      </c>
      <c r="H19" t="s">
        <v>17</v>
      </c>
      <c r="I19" s="3" t="s">
        <v>57</v>
      </c>
      <c r="J19" s="3" t="s">
        <v>58</v>
      </c>
    </row>
    <row r="20" spans="1:10">
      <c r="A20" s="2" t="s">
        <v>59</v>
      </c>
      <c r="B20" t="s">
        <v>60</v>
      </c>
      <c r="C20" s="23">
        <v>2025</v>
      </c>
      <c r="D20" s="17">
        <v>24.27</v>
      </c>
      <c r="F20" s="17">
        <v>0.09</v>
      </c>
      <c r="G20" t="s">
        <v>37</v>
      </c>
      <c r="H20" t="s">
        <v>17</v>
      </c>
      <c r="I20" s="3" t="s">
        <v>61</v>
      </c>
      <c r="J20" s="3" t="s">
        <v>62</v>
      </c>
    </row>
    <row r="21" spans="1:10">
      <c r="I21" s="3"/>
      <c r="J21" s="3"/>
    </row>
    <row r="22" spans="1:10">
      <c r="I22" s="3"/>
      <c r="J22" s="3"/>
    </row>
    <row r="23" spans="1:10" ht="28.5">
      <c r="A23" t="s">
        <v>63</v>
      </c>
      <c r="B23" t="s">
        <v>64</v>
      </c>
      <c r="C23" s="23">
        <v>2022</v>
      </c>
      <c r="D23" s="17">
        <v>19.170000000000002</v>
      </c>
      <c r="E23" s="17">
        <v>18.329999999999998</v>
      </c>
      <c r="F23" s="17">
        <v>0.16</v>
      </c>
      <c r="G23" t="s">
        <v>37</v>
      </c>
      <c r="H23" t="s">
        <v>17</v>
      </c>
      <c r="I23" s="3" t="s">
        <v>65</v>
      </c>
      <c r="J23" s="3" t="s">
        <v>66</v>
      </c>
    </row>
    <row r="24" spans="1:10" ht="28.5">
      <c r="A24" t="s">
        <v>67</v>
      </c>
      <c r="B24" t="s">
        <v>68</v>
      </c>
      <c r="C24" s="23">
        <v>2022</v>
      </c>
      <c r="D24" s="17">
        <v>16.899999999999999</v>
      </c>
      <c r="E24" s="17">
        <v>15.9</v>
      </c>
      <c r="F24" s="17">
        <v>0.125</v>
      </c>
      <c r="G24" t="s">
        <v>37</v>
      </c>
      <c r="H24" t="s">
        <v>17</v>
      </c>
      <c r="I24" s="3" t="s">
        <v>69</v>
      </c>
      <c r="J24" s="3" t="s">
        <v>70</v>
      </c>
    </row>
    <row r="25" spans="1:10">
      <c r="A25" t="s">
        <v>71</v>
      </c>
      <c r="B25" t="s">
        <v>72</v>
      </c>
      <c r="C25" s="23">
        <v>2022</v>
      </c>
      <c r="D25" s="17">
        <v>16.34</v>
      </c>
      <c r="G25" t="s">
        <v>37</v>
      </c>
      <c r="H25" t="s">
        <v>17</v>
      </c>
      <c r="I25" s="3" t="s">
        <v>73</v>
      </c>
      <c r="J25" s="3" t="s">
        <v>74</v>
      </c>
    </row>
    <row r="26" spans="1:10">
      <c r="A26" s="2" t="s">
        <v>75</v>
      </c>
      <c r="B26" t="s">
        <v>76</v>
      </c>
      <c r="C26" s="23">
        <v>2022</v>
      </c>
      <c r="D26" s="17">
        <v>14.26</v>
      </c>
      <c r="F26" s="17">
        <v>0.12</v>
      </c>
      <c r="G26" t="s">
        <v>37</v>
      </c>
      <c r="I26" s="3" t="s">
        <v>77</v>
      </c>
      <c r="J26" s="3" t="s">
        <v>78</v>
      </c>
    </row>
    <row r="27" spans="1:10">
      <c r="A27" s="2" t="s">
        <v>75</v>
      </c>
      <c r="B27" t="s">
        <v>76</v>
      </c>
      <c r="C27" s="23">
        <v>2022</v>
      </c>
      <c r="D27" s="17">
        <v>13.88</v>
      </c>
      <c r="F27" s="17">
        <v>25</v>
      </c>
      <c r="G27" t="s">
        <v>37</v>
      </c>
      <c r="H27" t="s">
        <v>33</v>
      </c>
      <c r="I27" s="3" t="s">
        <v>77</v>
      </c>
      <c r="J27" s="3" t="s">
        <v>78</v>
      </c>
    </row>
    <row r="28" spans="1:10">
      <c r="A28" t="s">
        <v>79</v>
      </c>
      <c r="B28" t="s">
        <v>60</v>
      </c>
      <c r="C28" s="23">
        <v>2022</v>
      </c>
      <c r="D28" s="17">
        <v>10.77</v>
      </c>
      <c r="F28" s="17">
        <v>10.8</v>
      </c>
      <c r="G28" t="s">
        <v>37</v>
      </c>
      <c r="H28" t="s">
        <v>33</v>
      </c>
      <c r="I28" s="3" t="s">
        <v>80</v>
      </c>
      <c r="J28" s="3" t="s">
        <v>81</v>
      </c>
    </row>
    <row r="29" spans="1:10">
      <c r="A29" s="2" t="s">
        <v>79</v>
      </c>
      <c r="B29" t="s">
        <v>60</v>
      </c>
      <c r="C29" s="23">
        <v>2022</v>
      </c>
      <c r="D29" s="17">
        <v>12.81</v>
      </c>
      <c r="F29" s="17">
        <v>0.06</v>
      </c>
      <c r="G29" t="s">
        <v>37</v>
      </c>
      <c r="H29" t="s">
        <v>17</v>
      </c>
      <c r="I29" s="3" t="s">
        <v>80</v>
      </c>
      <c r="J29" s="3" t="s">
        <v>82</v>
      </c>
    </row>
    <row r="30" spans="1:10">
      <c r="A30" s="2" t="s">
        <v>83</v>
      </c>
      <c r="B30" t="s">
        <v>84</v>
      </c>
      <c r="C30" s="23">
        <v>2022</v>
      </c>
      <c r="D30" s="17">
        <v>20.8</v>
      </c>
      <c r="E30" s="17">
        <v>16.899999999999999</v>
      </c>
      <c r="F30" s="17">
        <v>2.5000000000000001E-2</v>
      </c>
      <c r="G30" t="s">
        <v>37</v>
      </c>
      <c r="H30" t="s">
        <v>17</v>
      </c>
      <c r="I30" s="3" t="s">
        <v>85</v>
      </c>
      <c r="J30" s="3" t="s">
        <v>86</v>
      </c>
    </row>
    <row r="31" spans="1:10" ht="57">
      <c r="A31" s="2" t="s">
        <v>87</v>
      </c>
      <c r="B31" t="s">
        <v>68</v>
      </c>
      <c r="C31" s="23">
        <v>2023</v>
      </c>
      <c r="D31" s="17">
        <v>14.8</v>
      </c>
      <c r="F31" s="17">
        <v>0.125</v>
      </c>
      <c r="G31" t="s">
        <v>37</v>
      </c>
      <c r="H31" t="s">
        <v>17</v>
      </c>
      <c r="I31" s="3" t="s">
        <v>88</v>
      </c>
      <c r="J31" s="3" t="s">
        <v>89</v>
      </c>
    </row>
    <row r="32" spans="1:10" ht="42.75">
      <c r="A32" s="2" t="s">
        <v>90</v>
      </c>
      <c r="B32" t="s">
        <v>91</v>
      </c>
      <c r="C32" s="23">
        <v>2023</v>
      </c>
      <c r="D32" s="17">
        <v>20.100000000000001</v>
      </c>
      <c r="F32" s="17">
        <v>0.16</v>
      </c>
      <c r="G32" t="s">
        <v>37</v>
      </c>
      <c r="H32" t="s">
        <v>17</v>
      </c>
      <c r="I32" s="3" t="s">
        <v>92</v>
      </c>
      <c r="J32" s="3" t="s">
        <v>93</v>
      </c>
    </row>
    <row r="33" spans="1:10">
      <c r="A33" t="s">
        <v>94</v>
      </c>
      <c r="B33" t="s">
        <v>95</v>
      </c>
      <c r="C33" s="23">
        <v>2022</v>
      </c>
      <c r="D33" s="17">
        <v>16.7</v>
      </c>
      <c r="F33" s="17">
        <v>0.9</v>
      </c>
      <c r="G33" t="s">
        <v>37</v>
      </c>
      <c r="H33" t="s">
        <v>17</v>
      </c>
      <c r="I33" s="3" t="s">
        <v>96</v>
      </c>
      <c r="J33" s="3" t="s">
        <v>97</v>
      </c>
    </row>
    <row r="34" spans="1:10" ht="42.75">
      <c r="A34" t="s">
        <v>98</v>
      </c>
      <c r="B34" t="s">
        <v>99</v>
      </c>
      <c r="C34" s="23">
        <v>2022</v>
      </c>
      <c r="D34" s="17">
        <v>12.5</v>
      </c>
      <c r="G34" t="s">
        <v>37</v>
      </c>
      <c r="H34" t="s">
        <v>17</v>
      </c>
      <c r="I34" s="3" t="s">
        <v>100</v>
      </c>
      <c r="J34" s="3" t="s">
        <v>101</v>
      </c>
    </row>
    <row r="35" spans="1:10" ht="28.5">
      <c r="A35" s="2" t="s">
        <v>102</v>
      </c>
      <c r="B35" t="s">
        <v>103</v>
      </c>
      <c r="C35" s="23">
        <v>2024</v>
      </c>
      <c r="D35" s="17">
        <v>20.3</v>
      </c>
      <c r="F35" s="17">
        <v>8.8999999999999996E-2</v>
      </c>
      <c r="G35" t="s">
        <v>37</v>
      </c>
      <c r="H35" t="s">
        <v>17</v>
      </c>
      <c r="I35" s="3" t="s">
        <v>104</v>
      </c>
      <c r="J35" s="3" t="s">
        <v>105</v>
      </c>
    </row>
    <row r="36" spans="1:10" ht="28.5">
      <c r="A36" s="2" t="s">
        <v>102</v>
      </c>
      <c r="B36" t="s">
        <v>103</v>
      </c>
      <c r="C36" s="23">
        <v>2024</v>
      </c>
      <c r="D36" s="17">
        <v>18.829999999999998</v>
      </c>
      <c r="F36" s="17">
        <v>100</v>
      </c>
      <c r="G36" t="s">
        <v>37</v>
      </c>
      <c r="H36" t="s">
        <v>33</v>
      </c>
      <c r="I36" s="3" t="s">
        <v>104</v>
      </c>
      <c r="J36" s="3" t="s">
        <v>106</v>
      </c>
    </row>
    <row r="37" spans="1:10" ht="42.75">
      <c r="A37" t="s">
        <v>107</v>
      </c>
      <c r="B37" t="s">
        <v>108</v>
      </c>
      <c r="C37" s="23">
        <v>2023</v>
      </c>
      <c r="D37" s="17">
        <v>20.8</v>
      </c>
      <c r="E37" s="17">
        <v>19.600000000000001</v>
      </c>
      <c r="F37" s="17">
        <v>2.5000000000000001E-2</v>
      </c>
      <c r="G37" t="s">
        <v>37</v>
      </c>
      <c r="H37" t="s">
        <v>17</v>
      </c>
      <c r="I37" s="3" t="s">
        <v>109</v>
      </c>
      <c r="J37" s="3" t="s">
        <v>110</v>
      </c>
    </row>
    <row r="38" spans="1:10">
      <c r="A38" t="s">
        <v>111</v>
      </c>
      <c r="B38" t="s">
        <v>112</v>
      </c>
      <c r="C38" s="23">
        <v>2022</v>
      </c>
      <c r="D38" s="17">
        <v>10.5</v>
      </c>
      <c r="F38" s="17">
        <v>0.1</v>
      </c>
      <c r="G38" t="s">
        <v>37</v>
      </c>
      <c r="H38" t="s">
        <v>17</v>
      </c>
      <c r="I38" s="3" t="s">
        <v>113</v>
      </c>
      <c r="J38" s="3" t="s">
        <v>114</v>
      </c>
    </row>
    <row r="39" spans="1:10" ht="85.5">
      <c r="A39" t="s">
        <v>115</v>
      </c>
      <c r="B39" t="s">
        <v>116</v>
      </c>
      <c r="C39" s="23">
        <v>2022</v>
      </c>
      <c r="D39" s="17">
        <v>18.239999999999998</v>
      </c>
      <c r="E39" s="17">
        <v>17.47</v>
      </c>
      <c r="F39" s="17">
        <v>7.8E-2</v>
      </c>
      <c r="G39" t="s">
        <v>37</v>
      </c>
      <c r="H39" t="s">
        <v>17</v>
      </c>
      <c r="I39" s="3" t="s">
        <v>117</v>
      </c>
      <c r="J39" s="3" t="s">
        <v>118</v>
      </c>
    </row>
    <row r="40" spans="1:10" ht="85.5">
      <c r="A40" s="2" t="s">
        <v>115</v>
      </c>
      <c r="B40" t="s">
        <v>116</v>
      </c>
      <c r="C40" s="23">
        <v>2022</v>
      </c>
      <c r="D40" s="17">
        <v>16.100000000000001</v>
      </c>
      <c r="F40" s="17">
        <v>35.1</v>
      </c>
      <c r="G40" t="s">
        <v>37</v>
      </c>
      <c r="H40" t="s">
        <v>33</v>
      </c>
      <c r="I40" s="3" t="s">
        <v>117</v>
      </c>
      <c r="J40" s="3" t="s">
        <v>119</v>
      </c>
    </row>
    <row r="41" spans="1:10" ht="57">
      <c r="A41" t="s">
        <v>120</v>
      </c>
      <c r="B41" t="s">
        <v>121</v>
      </c>
      <c r="C41" s="23">
        <v>2022</v>
      </c>
      <c r="D41" s="17">
        <v>21.73</v>
      </c>
      <c r="F41" s="17">
        <v>36</v>
      </c>
      <c r="G41" t="s">
        <v>37</v>
      </c>
      <c r="H41" t="s">
        <v>33</v>
      </c>
      <c r="I41" s="3" t="s">
        <v>122</v>
      </c>
      <c r="J41" s="3" t="s">
        <v>123</v>
      </c>
    </row>
    <row r="42" spans="1:10" ht="57">
      <c r="A42" t="s">
        <v>120</v>
      </c>
      <c r="B42" t="s">
        <v>121</v>
      </c>
      <c r="C42" s="23">
        <v>2022</v>
      </c>
      <c r="D42" s="17">
        <v>17.5</v>
      </c>
      <c r="F42" s="17">
        <v>100</v>
      </c>
      <c r="G42" t="s">
        <v>37</v>
      </c>
      <c r="H42" t="s">
        <v>33</v>
      </c>
      <c r="I42" s="3" t="s">
        <v>122</v>
      </c>
      <c r="J42" s="3" t="s">
        <v>123</v>
      </c>
    </row>
    <row r="43" spans="1:10" ht="42.75">
      <c r="A43" s="2" t="s">
        <v>124</v>
      </c>
      <c r="B43" t="s">
        <v>125</v>
      </c>
      <c r="C43" s="23">
        <v>2022</v>
      </c>
      <c r="D43" s="17">
        <v>17.18</v>
      </c>
      <c r="E43" s="17">
        <v>16.88</v>
      </c>
      <c r="F43" s="17">
        <v>0.09</v>
      </c>
      <c r="G43" t="s">
        <v>37</v>
      </c>
      <c r="H43" t="s">
        <v>17</v>
      </c>
      <c r="I43" s="3" t="s">
        <v>126</v>
      </c>
      <c r="J43" s="3" t="s">
        <v>127</v>
      </c>
    </row>
    <row r="44" spans="1:10" ht="28.5">
      <c r="A44" t="s">
        <v>128</v>
      </c>
      <c r="B44" t="s">
        <v>68</v>
      </c>
      <c r="C44" s="23">
        <v>2024</v>
      </c>
      <c r="D44" s="17">
        <v>16.2</v>
      </c>
      <c r="F44" s="17">
        <v>0.13</v>
      </c>
      <c r="G44" t="s">
        <v>37</v>
      </c>
      <c r="H44" t="s">
        <v>17</v>
      </c>
      <c r="I44" s="3" t="s">
        <v>129</v>
      </c>
      <c r="J44" s="3" t="s">
        <v>130</v>
      </c>
    </row>
    <row r="45" spans="1:10" ht="28.5">
      <c r="A45" s="2" t="s">
        <v>128</v>
      </c>
      <c r="B45" t="s">
        <v>68</v>
      </c>
      <c r="C45" s="23">
        <v>2024</v>
      </c>
      <c r="D45" s="17">
        <v>20.2</v>
      </c>
      <c r="F45" s="17">
        <v>0.45</v>
      </c>
      <c r="G45" t="s">
        <v>37</v>
      </c>
      <c r="H45" t="s">
        <v>17</v>
      </c>
      <c r="I45" s="3" t="s">
        <v>131</v>
      </c>
      <c r="J45" s="3" t="s">
        <v>130</v>
      </c>
    </row>
    <row r="46" spans="1:10" ht="71.25">
      <c r="A46" s="2" t="s">
        <v>132</v>
      </c>
      <c r="B46" t="s">
        <v>84</v>
      </c>
      <c r="C46" s="23">
        <v>2024</v>
      </c>
      <c r="D46" s="17">
        <v>21</v>
      </c>
      <c r="E46" s="17">
        <v>17.899999999999999</v>
      </c>
      <c r="F46" s="17">
        <v>2.3E-2</v>
      </c>
      <c r="G46" t="s">
        <v>37</v>
      </c>
      <c r="H46" t="s">
        <v>17</v>
      </c>
      <c r="I46" s="3" t="s">
        <v>133</v>
      </c>
      <c r="J46" s="3" t="s">
        <v>134</v>
      </c>
    </row>
    <row r="47" spans="1:10" ht="28.5">
      <c r="A47" t="s">
        <v>135</v>
      </c>
      <c r="B47" t="s">
        <v>136</v>
      </c>
      <c r="C47" s="23">
        <v>2023</v>
      </c>
      <c r="D47" s="17">
        <v>22.08</v>
      </c>
      <c r="F47" s="17">
        <v>0.09</v>
      </c>
      <c r="G47" t="s">
        <v>37</v>
      </c>
      <c r="H47" t="s">
        <v>17</v>
      </c>
      <c r="I47" s="3" t="s">
        <v>137</v>
      </c>
      <c r="J47" s="3" t="s">
        <v>138</v>
      </c>
    </row>
    <row r="48" spans="1:10" ht="42.75">
      <c r="A48" t="s">
        <v>139</v>
      </c>
      <c r="B48" t="s">
        <v>140</v>
      </c>
      <c r="C48" s="23">
        <v>2024</v>
      </c>
      <c r="D48" s="17">
        <v>20.5</v>
      </c>
      <c r="F48" s="17">
        <v>0.09</v>
      </c>
      <c r="G48" t="s">
        <v>37</v>
      </c>
      <c r="H48" t="s">
        <v>17</v>
      </c>
      <c r="I48" s="3" t="s">
        <v>141</v>
      </c>
      <c r="J48" s="3" t="s">
        <v>142</v>
      </c>
    </row>
    <row r="49" spans="1:10" ht="42.75">
      <c r="A49" t="s">
        <v>139</v>
      </c>
      <c r="B49" t="s">
        <v>140</v>
      </c>
      <c r="C49" s="23">
        <v>2024</v>
      </c>
      <c r="D49" s="17">
        <v>15.8</v>
      </c>
      <c r="F49" s="17">
        <v>13</v>
      </c>
      <c r="G49" t="s">
        <v>37</v>
      </c>
      <c r="H49" t="s">
        <v>33</v>
      </c>
      <c r="I49" s="3" t="s">
        <v>141</v>
      </c>
      <c r="J49" s="3" t="s">
        <v>142</v>
      </c>
    </row>
    <row r="50" spans="1:10" ht="42.75">
      <c r="A50" t="s">
        <v>143</v>
      </c>
      <c r="B50" t="s">
        <v>144</v>
      </c>
      <c r="C50" s="23">
        <v>2022</v>
      </c>
      <c r="D50" s="17">
        <v>19.5</v>
      </c>
      <c r="E50" s="17">
        <v>17.600000000000001</v>
      </c>
      <c r="G50" t="s">
        <v>37</v>
      </c>
      <c r="I50" s="3" t="s">
        <v>145</v>
      </c>
      <c r="J50" s="3" t="s">
        <v>146</v>
      </c>
    </row>
    <row r="51" spans="1:10" ht="28.5">
      <c r="A51" t="s">
        <v>147</v>
      </c>
      <c r="B51" t="s">
        <v>148</v>
      </c>
      <c r="C51" s="23">
        <v>2023</v>
      </c>
      <c r="D51" s="17">
        <v>20.14</v>
      </c>
      <c r="G51" t="s">
        <v>398</v>
      </c>
      <c r="H51" t="s">
        <v>17</v>
      </c>
      <c r="I51" t="s">
        <v>149</v>
      </c>
      <c r="J51" s="3" t="s">
        <v>150</v>
      </c>
    </row>
    <row r="52" spans="1:10">
      <c r="A52" t="s">
        <v>151</v>
      </c>
      <c r="B52" t="s">
        <v>152</v>
      </c>
      <c r="C52" s="23">
        <v>2024</v>
      </c>
      <c r="D52" s="18">
        <v>18.71</v>
      </c>
      <c r="F52" s="17">
        <v>1.02</v>
      </c>
      <c r="G52" t="s">
        <v>398</v>
      </c>
      <c r="H52" t="s">
        <v>17</v>
      </c>
      <c r="I52" s="3" t="s">
        <v>153</v>
      </c>
      <c r="J52" s="3" t="s">
        <v>154</v>
      </c>
    </row>
    <row r="53" spans="1:10">
      <c r="D53" s="18"/>
      <c r="G53" t="s">
        <v>398</v>
      </c>
      <c r="H53" s="3"/>
      <c r="I53" s="3"/>
      <c r="J53" s="3"/>
    </row>
    <row r="54" spans="1:10" ht="15.75">
      <c r="A54" t="s">
        <v>155</v>
      </c>
      <c r="B54" t="s">
        <v>148</v>
      </c>
      <c r="C54" s="23">
        <v>2025</v>
      </c>
      <c r="D54" s="17">
        <v>23.3</v>
      </c>
      <c r="F54" s="17">
        <v>0.04</v>
      </c>
      <c r="G54" t="s">
        <v>398</v>
      </c>
      <c r="H54" t="s">
        <v>17</v>
      </c>
      <c r="I54" t="s">
        <v>156</v>
      </c>
      <c r="J54" s="4" t="s">
        <v>157</v>
      </c>
    </row>
    <row r="55" spans="1:10" ht="15.75">
      <c r="G55" t="s">
        <v>398</v>
      </c>
      <c r="J55" s="4"/>
    </row>
    <row r="56" spans="1:10" ht="29.25">
      <c r="A56" t="s">
        <v>158</v>
      </c>
      <c r="B56" t="s">
        <v>159</v>
      </c>
      <c r="C56" s="23">
        <v>2025</v>
      </c>
      <c r="D56" s="17">
        <v>20.190000000000001</v>
      </c>
      <c r="F56" s="17">
        <v>1</v>
      </c>
      <c r="G56" t="s">
        <v>398</v>
      </c>
      <c r="H56" t="s">
        <v>17</v>
      </c>
      <c r="I56" s="3" t="s">
        <v>160</v>
      </c>
      <c r="J56" s="4" t="s">
        <v>161</v>
      </c>
    </row>
    <row r="57" spans="1:10" ht="47.25">
      <c r="A57" t="s">
        <v>162</v>
      </c>
      <c r="B57" t="s">
        <v>163</v>
      </c>
      <c r="C57" s="23">
        <v>2024</v>
      </c>
      <c r="D57" s="17">
        <v>22.7</v>
      </c>
      <c r="F57" s="17">
        <v>4.9000000000000002E-2</v>
      </c>
      <c r="G57" t="s">
        <v>398</v>
      </c>
      <c r="H57" t="s">
        <v>17</v>
      </c>
      <c r="I57" s="3" t="s">
        <v>164</v>
      </c>
      <c r="J57" s="4" t="s">
        <v>165</v>
      </c>
    </row>
    <row r="58" spans="1:10" ht="43.5">
      <c r="A58" t="s">
        <v>166</v>
      </c>
      <c r="B58" t="s">
        <v>167</v>
      </c>
      <c r="C58" s="23">
        <v>2025</v>
      </c>
      <c r="D58" s="17">
        <v>27.11</v>
      </c>
      <c r="F58" s="17">
        <v>7.0000000000000007E-2</v>
      </c>
      <c r="G58" t="s">
        <v>398</v>
      </c>
      <c r="H58" t="s">
        <v>17</v>
      </c>
      <c r="I58" s="3" t="s">
        <v>168</v>
      </c>
      <c r="J58" s="4" t="s">
        <v>169</v>
      </c>
    </row>
    <row r="59" spans="1:10" ht="29.25">
      <c r="A59" t="s">
        <v>170</v>
      </c>
      <c r="B59" t="s">
        <v>171</v>
      </c>
      <c r="C59" s="23">
        <v>2024</v>
      </c>
      <c r="D59" s="17">
        <v>22</v>
      </c>
      <c r="F59" s="17">
        <v>30.03</v>
      </c>
      <c r="G59" t="s">
        <v>398</v>
      </c>
      <c r="H59" t="s">
        <v>33</v>
      </c>
      <c r="I59" s="3" t="s">
        <v>172</v>
      </c>
      <c r="J59" s="4" t="s">
        <v>173</v>
      </c>
    </row>
    <row r="60" spans="1:10">
      <c r="A60" t="s">
        <v>174</v>
      </c>
      <c r="B60" t="s">
        <v>175</v>
      </c>
      <c r="C60" s="23">
        <v>2023</v>
      </c>
      <c r="D60" s="17">
        <v>20.11</v>
      </c>
      <c r="F60" s="17">
        <v>5.1999999999999998E-2</v>
      </c>
      <c r="G60" t="s">
        <v>398</v>
      </c>
      <c r="H60" t="s">
        <v>17</v>
      </c>
      <c r="I60" s="3" t="s">
        <v>176</v>
      </c>
      <c r="J60" s="3" t="s">
        <v>177</v>
      </c>
    </row>
    <row r="61" spans="1:10" ht="71.25">
      <c r="A61" t="s">
        <v>178</v>
      </c>
      <c r="B61" t="s">
        <v>159</v>
      </c>
      <c r="C61" s="23">
        <v>2025</v>
      </c>
      <c r="D61" s="17">
        <v>23</v>
      </c>
      <c r="G61" t="s">
        <v>398</v>
      </c>
      <c r="H61" t="s">
        <v>17</v>
      </c>
      <c r="I61" s="3" t="s">
        <v>179</v>
      </c>
      <c r="J61" s="3" t="s">
        <v>180</v>
      </c>
    </row>
    <row r="62" spans="1:10" ht="42.75">
      <c r="A62" t="s">
        <v>181</v>
      </c>
      <c r="B62" t="s">
        <v>182</v>
      </c>
      <c r="C62" s="23">
        <v>2025</v>
      </c>
      <c r="D62" s="17">
        <v>23</v>
      </c>
      <c r="F62" s="17">
        <v>9.2999999999999999E-2</v>
      </c>
      <c r="G62" t="s">
        <v>398</v>
      </c>
      <c r="H62" t="s">
        <v>17</v>
      </c>
      <c r="I62" s="3" t="s">
        <v>183</v>
      </c>
      <c r="J62" s="3" t="s">
        <v>184</v>
      </c>
    </row>
    <row r="63" spans="1:10" ht="42.75">
      <c r="A63" t="s">
        <v>181</v>
      </c>
      <c r="B63" t="s">
        <v>182</v>
      </c>
      <c r="C63" s="23">
        <v>2025</v>
      </c>
      <c r="D63" s="17">
        <v>20.2</v>
      </c>
      <c r="F63" s="17">
        <v>10.5</v>
      </c>
      <c r="G63" t="s">
        <v>398</v>
      </c>
      <c r="H63" t="s">
        <v>17</v>
      </c>
      <c r="I63" s="3" t="s">
        <v>183</v>
      </c>
      <c r="J63" s="3" t="s">
        <v>184</v>
      </c>
    </row>
    <row r="64" spans="1:10">
      <c r="A64" t="s">
        <v>185</v>
      </c>
      <c r="B64" t="s">
        <v>186</v>
      </c>
      <c r="C64" s="23">
        <v>2023</v>
      </c>
      <c r="D64" s="17">
        <v>5.8</v>
      </c>
      <c r="F64" s="17">
        <v>0.4</v>
      </c>
      <c r="G64" t="s">
        <v>398</v>
      </c>
      <c r="H64" t="s">
        <v>17</v>
      </c>
      <c r="I64" s="3" t="s">
        <v>187</v>
      </c>
      <c r="J64" s="3" t="s">
        <v>188</v>
      </c>
    </row>
    <row r="65" spans="1:10" ht="28.5">
      <c r="A65" t="s">
        <v>189</v>
      </c>
      <c r="B65" t="s">
        <v>190</v>
      </c>
      <c r="C65" s="23">
        <v>2023</v>
      </c>
      <c r="D65" s="17">
        <v>20.7</v>
      </c>
      <c r="F65" s="17">
        <v>0.1</v>
      </c>
      <c r="G65" t="s">
        <v>398</v>
      </c>
      <c r="H65" t="s">
        <v>17</v>
      </c>
      <c r="I65" s="3" t="s">
        <v>191</v>
      </c>
      <c r="J65" s="3" t="s">
        <v>192</v>
      </c>
    </row>
    <row r="66" spans="1:10">
      <c r="A66" t="s">
        <v>193</v>
      </c>
      <c r="B66" t="s">
        <v>194</v>
      </c>
      <c r="C66" s="23">
        <v>2024</v>
      </c>
      <c r="D66" s="17">
        <v>24.04</v>
      </c>
      <c r="F66" s="17">
        <v>4.8000000000000001E-2</v>
      </c>
      <c r="G66" t="s">
        <v>398</v>
      </c>
      <c r="H66" t="s">
        <v>17</v>
      </c>
      <c r="I66" s="3" t="s">
        <v>195</v>
      </c>
      <c r="J66" s="3" t="s">
        <v>196</v>
      </c>
    </row>
    <row r="67" spans="1:10" ht="28.5">
      <c r="A67" t="s">
        <v>197</v>
      </c>
      <c r="B67" t="s">
        <v>198</v>
      </c>
      <c r="C67" s="23">
        <v>2025</v>
      </c>
      <c r="D67" s="17">
        <v>19.8</v>
      </c>
      <c r="F67" s="17">
        <v>52</v>
      </c>
      <c r="G67" t="s">
        <v>398</v>
      </c>
      <c r="H67" t="s">
        <v>33</v>
      </c>
      <c r="I67" s="3" t="s">
        <v>199</v>
      </c>
      <c r="J67" s="3" t="s">
        <v>200</v>
      </c>
    </row>
    <row r="68" spans="1:10" ht="28.5">
      <c r="A68" t="s">
        <v>197</v>
      </c>
      <c r="B68" t="s">
        <v>198</v>
      </c>
      <c r="C68" s="23">
        <v>2025</v>
      </c>
      <c r="D68" s="17">
        <v>25.8</v>
      </c>
      <c r="F68" s="17">
        <v>0.09</v>
      </c>
      <c r="G68" t="s">
        <v>398</v>
      </c>
      <c r="H68" t="s">
        <v>17</v>
      </c>
      <c r="I68" s="3" t="s">
        <v>199</v>
      </c>
      <c r="J68" s="3" t="s">
        <v>200</v>
      </c>
    </row>
    <row r="69" spans="1:10" ht="28.5">
      <c r="A69" t="s">
        <v>201</v>
      </c>
      <c r="B69" t="s">
        <v>202</v>
      </c>
      <c r="C69" s="23">
        <v>2025</v>
      </c>
      <c r="D69" s="17">
        <v>20.16</v>
      </c>
      <c r="F69" s="17">
        <v>63.09</v>
      </c>
      <c r="G69" t="s">
        <v>398</v>
      </c>
      <c r="H69" t="s">
        <v>33</v>
      </c>
      <c r="I69" s="3" t="s">
        <v>203</v>
      </c>
      <c r="J69" s="3" t="s">
        <v>204</v>
      </c>
    </row>
    <row r="70" spans="1:10" ht="42.75">
      <c r="A70" s="2" t="s">
        <v>205</v>
      </c>
      <c r="B70" t="s">
        <v>206</v>
      </c>
      <c r="C70" s="23">
        <v>2025</v>
      </c>
      <c r="D70" s="17">
        <v>24.14</v>
      </c>
      <c r="F70" s="17">
        <v>11</v>
      </c>
      <c r="G70" t="s">
        <v>398</v>
      </c>
      <c r="H70" t="s">
        <v>33</v>
      </c>
      <c r="I70" s="3" t="s">
        <v>207</v>
      </c>
      <c r="J70" s="3" t="s">
        <v>208</v>
      </c>
    </row>
    <row r="71" spans="1:10" ht="28.5">
      <c r="A71" t="s">
        <v>209</v>
      </c>
      <c r="B71" t="s">
        <v>210</v>
      </c>
      <c r="C71" s="23">
        <v>2024</v>
      </c>
      <c r="D71" s="17">
        <v>25.31</v>
      </c>
      <c r="F71" s="17">
        <v>0.09</v>
      </c>
      <c r="G71" t="s">
        <v>398</v>
      </c>
      <c r="H71" t="s">
        <v>17</v>
      </c>
      <c r="I71" s="3" t="s">
        <v>211</v>
      </c>
      <c r="J71" s="3"/>
    </row>
    <row r="72" spans="1:10" ht="28.5">
      <c r="A72" t="s">
        <v>209</v>
      </c>
      <c r="B72" t="s">
        <v>210</v>
      </c>
      <c r="C72" s="23">
        <v>2024</v>
      </c>
      <c r="D72" s="17">
        <v>23</v>
      </c>
      <c r="F72" s="17">
        <v>12.4</v>
      </c>
      <c r="G72" t="s">
        <v>398</v>
      </c>
      <c r="H72" t="s">
        <v>33</v>
      </c>
      <c r="I72" s="3" t="s">
        <v>211</v>
      </c>
      <c r="J72" s="3" t="s">
        <v>212</v>
      </c>
    </row>
    <row r="73" spans="1:10">
      <c r="A73" t="s">
        <v>213</v>
      </c>
      <c r="B73" t="s">
        <v>214</v>
      </c>
      <c r="C73" s="23">
        <v>2024</v>
      </c>
      <c r="G73" t="s">
        <v>396</v>
      </c>
      <c r="J73" t="s">
        <v>215</v>
      </c>
    </row>
    <row r="74" spans="1:10">
      <c r="A74" t="s">
        <v>216</v>
      </c>
      <c r="B74" t="s">
        <v>217</v>
      </c>
      <c r="C74" s="23">
        <v>2019</v>
      </c>
      <c r="G74" t="s">
        <v>396</v>
      </c>
      <c r="J74" t="s">
        <v>218</v>
      </c>
    </row>
    <row r="75" spans="1:10">
      <c r="A75" s="2" t="s">
        <v>219</v>
      </c>
      <c r="B75" t="s">
        <v>220</v>
      </c>
      <c r="C75" s="23">
        <v>2023</v>
      </c>
      <c r="D75" s="17">
        <v>24.6</v>
      </c>
      <c r="F75" s="17">
        <v>0.18</v>
      </c>
      <c r="G75" t="s">
        <v>396</v>
      </c>
      <c r="I75" t="s">
        <v>221</v>
      </c>
      <c r="J75" t="s">
        <v>222</v>
      </c>
    </row>
    <row r="76" spans="1:10">
      <c r="A76" t="s">
        <v>223</v>
      </c>
      <c r="B76" t="s">
        <v>224</v>
      </c>
      <c r="C76" s="23">
        <v>2023</v>
      </c>
      <c r="D76" s="17">
        <v>25.4</v>
      </c>
      <c r="E76" s="17">
        <v>0.25</v>
      </c>
      <c r="F76" s="17">
        <v>0.06</v>
      </c>
      <c r="G76" t="s">
        <v>396</v>
      </c>
      <c r="H76" t="s">
        <v>17</v>
      </c>
      <c r="I76" t="s">
        <v>225</v>
      </c>
      <c r="J76" t="s">
        <v>226</v>
      </c>
    </row>
    <row r="77" spans="1:10">
      <c r="A77" t="s">
        <v>227</v>
      </c>
      <c r="B77" t="s">
        <v>228</v>
      </c>
      <c r="C77" s="23">
        <v>2014</v>
      </c>
      <c r="D77" s="17">
        <v>17.010000000000002</v>
      </c>
      <c r="E77" s="17">
        <v>0.16400000000000001</v>
      </c>
      <c r="F77" s="17">
        <v>0.18</v>
      </c>
      <c r="G77" t="s">
        <v>396</v>
      </c>
      <c r="I77" t="s">
        <v>229</v>
      </c>
      <c r="J77" t="s">
        <v>230</v>
      </c>
    </row>
    <row r="78" spans="1:10">
      <c r="A78" t="s">
        <v>231</v>
      </c>
      <c r="B78" t="s">
        <v>232</v>
      </c>
      <c r="C78" s="23">
        <v>2018</v>
      </c>
      <c r="D78" s="17">
        <v>25.2</v>
      </c>
      <c r="F78" s="17">
        <v>1.42</v>
      </c>
      <c r="G78" t="s">
        <v>397</v>
      </c>
      <c r="I78" t="s">
        <v>233</v>
      </c>
      <c r="J78" t="s">
        <v>234</v>
      </c>
    </row>
    <row r="79" spans="1:10">
      <c r="A79" t="s">
        <v>235</v>
      </c>
      <c r="B79" t="s">
        <v>236</v>
      </c>
      <c r="C79" s="23">
        <v>2025</v>
      </c>
      <c r="D79" s="17">
        <v>33.1</v>
      </c>
      <c r="F79" s="17">
        <v>1</v>
      </c>
      <c r="G79" t="s">
        <v>397</v>
      </c>
      <c r="I79" t="s">
        <v>237</v>
      </c>
      <c r="J79" t="s">
        <v>238</v>
      </c>
    </row>
    <row r="80" spans="1:10">
      <c r="A80" t="s">
        <v>239</v>
      </c>
      <c r="B80" t="s">
        <v>240</v>
      </c>
      <c r="C80" s="23">
        <v>2021</v>
      </c>
      <c r="D80" s="17">
        <v>21</v>
      </c>
      <c r="E80" s="17">
        <v>0.18</v>
      </c>
      <c r="F80" s="17">
        <v>4.4999999999999998E-2</v>
      </c>
      <c r="G80" t="s">
        <v>396</v>
      </c>
      <c r="I80" t="s">
        <v>241</v>
      </c>
      <c r="J80" t="s">
        <v>242</v>
      </c>
    </row>
    <row r="81" spans="1:10">
      <c r="A81" t="s">
        <v>243</v>
      </c>
      <c r="B81" t="s">
        <v>244</v>
      </c>
      <c r="C81" s="23">
        <v>2023</v>
      </c>
      <c r="D81" s="17">
        <v>23.1</v>
      </c>
      <c r="E81" s="17">
        <v>0.22500000000000001</v>
      </c>
      <c r="F81" s="17">
        <v>6.3E-2</v>
      </c>
      <c r="G81" t="s">
        <v>396</v>
      </c>
      <c r="I81" t="s">
        <v>245</v>
      </c>
      <c r="J81" t="s">
        <v>246</v>
      </c>
    </row>
    <row r="82" spans="1:10">
      <c r="A82" s="2" t="s">
        <v>247</v>
      </c>
      <c r="B82" t="s">
        <v>248</v>
      </c>
      <c r="C82" s="23">
        <v>2021</v>
      </c>
      <c r="G82" t="s">
        <v>396</v>
      </c>
      <c r="J82" t="s">
        <v>249</v>
      </c>
    </row>
    <row r="83" spans="1:10">
      <c r="A83" s="2" t="s">
        <v>250</v>
      </c>
      <c r="B83" t="s">
        <v>251</v>
      </c>
      <c r="C83" s="23">
        <v>2022</v>
      </c>
      <c r="D83" s="17">
        <v>27.1</v>
      </c>
      <c r="F83" s="17">
        <v>5.8999999999999997E-2</v>
      </c>
      <c r="G83" t="s">
        <v>396</v>
      </c>
      <c r="I83" t="s">
        <v>252</v>
      </c>
      <c r="J83" t="s">
        <v>253</v>
      </c>
    </row>
    <row r="84" spans="1:10">
      <c r="A84" s="2" t="s">
        <v>254</v>
      </c>
      <c r="B84" t="s">
        <v>255</v>
      </c>
      <c r="C84" s="23">
        <v>2023</v>
      </c>
      <c r="D84" s="17">
        <v>18</v>
      </c>
      <c r="F84" s="17">
        <v>2.5000000000000001E-2</v>
      </c>
      <c r="G84" t="s">
        <v>396</v>
      </c>
      <c r="I84" t="s">
        <v>256</v>
      </c>
      <c r="J84" t="s">
        <v>257</v>
      </c>
    </row>
    <row r="85" spans="1:10">
      <c r="A85" s="2" t="s">
        <v>258</v>
      </c>
      <c r="B85" t="s">
        <v>259</v>
      </c>
      <c r="C85" s="23">
        <v>2025</v>
      </c>
      <c r="D85" s="17">
        <v>12.1</v>
      </c>
      <c r="E85" s="17">
        <v>0.111</v>
      </c>
      <c r="F85" s="17">
        <v>9.8500000000000004E-2</v>
      </c>
      <c r="G85" t="s">
        <v>396</v>
      </c>
      <c r="H85" t="s">
        <v>17</v>
      </c>
      <c r="I85" t="s">
        <v>260</v>
      </c>
      <c r="J85" t="s">
        <v>261</v>
      </c>
    </row>
    <row r="86" spans="1:10">
      <c r="A86" s="2" t="s">
        <v>262</v>
      </c>
      <c r="B86" t="s">
        <v>263</v>
      </c>
      <c r="C86" s="23">
        <v>2016</v>
      </c>
      <c r="D86" s="17">
        <v>20.61</v>
      </c>
      <c r="E86" s="17">
        <v>0.1958</v>
      </c>
      <c r="F86" s="17">
        <v>1</v>
      </c>
      <c r="G86" t="s">
        <v>396</v>
      </c>
      <c r="I86" t="s">
        <v>264</v>
      </c>
      <c r="J86" t="s">
        <v>265</v>
      </c>
    </row>
    <row r="87" spans="1:10">
      <c r="A87" t="s">
        <v>266</v>
      </c>
      <c r="B87" t="s">
        <v>267</v>
      </c>
      <c r="C87" s="23">
        <v>2022</v>
      </c>
      <c r="D87" s="17">
        <v>23.6</v>
      </c>
      <c r="F87" s="17">
        <v>0.16</v>
      </c>
      <c r="G87" t="s">
        <v>396</v>
      </c>
      <c r="H87" t="s">
        <v>17</v>
      </c>
      <c r="I87" t="s">
        <v>268</v>
      </c>
      <c r="J87" s="3" t="s">
        <v>269</v>
      </c>
    </row>
    <row r="88" spans="1:10" ht="71.25">
      <c r="A88" t="s">
        <v>270</v>
      </c>
      <c r="B88" t="s">
        <v>271</v>
      </c>
      <c r="C88" s="23">
        <v>2025</v>
      </c>
      <c r="D88" s="17">
        <v>17.13</v>
      </c>
      <c r="F88" s="17">
        <v>5.7599999999999998E-2</v>
      </c>
      <c r="G88" t="s">
        <v>396</v>
      </c>
      <c r="H88" t="s">
        <v>17</v>
      </c>
      <c r="I88" t="s">
        <v>272</v>
      </c>
      <c r="J88" s="3" t="s">
        <v>273</v>
      </c>
    </row>
    <row r="89" spans="1:10">
      <c r="A89" t="s">
        <v>274</v>
      </c>
      <c r="B89" t="s">
        <v>275</v>
      </c>
      <c r="C89" s="23">
        <v>2024</v>
      </c>
      <c r="D89" s="17">
        <v>26.15</v>
      </c>
      <c r="F89" s="17">
        <v>0.05</v>
      </c>
      <c r="G89" t="s">
        <v>396</v>
      </c>
      <c r="H89" t="s">
        <v>17</v>
      </c>
      <c r="I89" t="s">
        <v>276</v>
      </c>
      <c r="J89" s="3" t="s">
        <v>277</v>
      </c>
    </row>
    <row r="90" spans="1:10">
      <c r="A90" t="s">
        <v>278</v>
      </c>
      <c r="B90" t="s">
        <v>279</v>
      </c>
      <c r="C90" s="23">
        <v>2025</v>
      </c>
      <c r="D90" s="17">
        <v>20.350000000000001</v>
      </c>
      <c r="F90" s="17">
        <v>9.4799999999999995E-2</v>
      </c>
      <c r="G90" t="s">
        <v>396</v>
      </c>
      <c r="H90" t="s">
        <v>17</v>
      </c>
      <c r="I90" s="5" t="s">
        <v>280</v>
      </c>
      <c r="J90" s="3" t="s">
        <v>281</v>
      </c>
    </row>
    <row r="91" spans="1:10" ht="42.75">
      <c r="A91" t="s">
        <v>282</v>
      </c>
      <c r="B91" t="s">
        <v>283</v>
      </c>
      <c r="C91" s="23">
        <v>2020</v>
      </c>
      <c r="D91" s="17">
        <v>29.15</v>
      </c>
      <c r="F91" s="17">
        <v>1.0640000000000001</v>
      </c>
      <c r="G91" t="s">
        <v>396</v>
      </c>
      <c r="H91" t="s">
        <v>17</v>
      </c>
      <c r="I91" s="3" t="s">
        <v>284</v>
      </c>
      <c r="J91" t="s">
        <v>285</v>
      </c>
    </row>
    <row r="92" spans="1:10" ht="71.25">
      <c r="A92" s="6" t="s">
        <v>286</v>
      </c>
      <c r="B92" t="s">
        <v>287</v>
      </c>
      <c r="C92" s="23">
        <v>2025</v>
      </c>
      <c r="D92" s="17">
        <v>28.7</v>
      </c>
      <c r="F92" s="17">
        <v>1</v>
      </c>
      <c r="G92" t="s">
        <v>396</v>
      </c>
      <c r="H92" t="s">
        <v>17</v>
      </c>
      <c r="I92" s="3" t="s">
        <v>288</v>
      </c>
      <c r="J92" s="3" t="s">
        <v>289</v>
      </c>
    </row>
    <row r="93" spans="1:10" ht="57">
      <c r="A93" t="s">
        <v>290</v>
      </c>
      <c r="B93" t="s">
        <v>291</v>
      </c>
      <c r="C93" s="23">
        <v>2025</v>
      </c>
      <c r="D93" s="17">
        <v>28.4</v>
      </c>
      <c r="F93" s="17">
        <v>1</v>
      </c>
      <c r="G93" t="s">
        <v>396</v>
      </c>
      <c r="H93" t="s">
        <v>17</v>
      </c>
      <c r="I93" s="3" t="s">
        <v>292</v>
      </c>
      <c r="J93" s="3" t="s">
        <v>293</v>
      </c>
    </row>
    <row r="94" spans="1:10" ht="71.25">
      <c r="A94" t="s">
        <v>294</v>
      </c>
      <c r="B94" t="s">
        <v>295</v>
      </c>
      <c r="C94" s="23">
        <v>2025</v>
      </c>
      <c r="D94" s="17">
        <v>29.1</v>
      </c>
      <c r="F94" s="17">
        <v>4.9000000000000002E-2</v>
      </c>
      <c r="G94" t="s">
        <v>396</v>
      </c>
      <c r="H94" t="s">
        <v>17</v>
      </c>
      <c r="I94" s="3" t="s">
        <v>296</v>
      </c>
      <c r="J94" s="3" t="s">
        <v>297</v>
      </c>
    </row>
    <row r="95" spans="1:10" ht="42.75">
      <c r="A95" t="s">
        <v>298</v>
      </c>
      <c r="B95" t="s">
        <v>299</v>
      </c>
      <c r="C95" s="23">
        <v>2025</v>
      </c>
      <c r="D95" s="17">
        <v>24.6</v>
      </c>
      <c r="F95" s="17">
        <v>1.0900000000000001</v>
      </c>
      <c r="G95" t="s">
        <v>396</v>
      </c>
      <c r="H95" t="s">
        <v>17</v>
      </c>
      <c r="I95" t="s">
        <v>300</v>
      </c>
      <c r="J95" s="3" t="s">
        <v>301</v>
      </c>
    </row>
    <row r="96" spans="1:10" ht="57">
      <c r="A96" t="s">
        <v>302</v>
      </c>
      <c r="B96" t="s">
        <v>303</v>
      </c>
      <c r="C96" s="23">
        <v>2025</v>
      </c>
      <c r="D96" s="17">
        <v>30.13</v>
      </c>
      <c r="F96" s="17">
        <v>0.107</v>
      </c>
      <c r="G96" t="s">
        <v>396</v>
      </c>
      <c r="H96" t="s">
        <v>17</v>
      </c>
      <c r="I96" t="s">
        <v>304</v>
      </c>
      <c r="J96" s="3" t="s">
        <v>305</v>
      </c>
    </row>
    <row r="97" spans="1:10" ht="85.5">
      <c r="A97" t="s">
        <v>306</v>
      </c>
      <c r="B97" t="s">
        <v>307</v>
      </c>
      <c r="C97" s="23">
        <v>2024</v>
      </c>
      <c r="D97" s="17">
        <v>26.4</v>
      </c>
      <c r="F97" s="17">
        <v>0.09</v>
      </c>
      <c r="G97" t="s">
        <v>396</v>
      </c>
      <c r="H97" t="s">
        <v>17</v>
      </c>
      <c r="I97" s="3" t="s">
        <v>308</v>
      </c>
      <c r="J97" s="3" t="s">
        <v>309</v>
      </c>
    </row>
    <row r="98" spans="1:10" ht="42.75">
      <c r="A98" t="s">
        <v>310</v>
      </c>
      <c r="B98" t="s">
        <v>311</v>
      </c>
      <c r="C98" s="23">
        <v>2022</v>
      </c>
      <c r="D98" s="17">
        <v>24.7</v>
      </c>
      <c r="F98" s="17">
        <v>4.9000000000000002E-2</v>
      </c>
      <c r="G98" t="s">
        <v>396</v>
      </c>
      <c r="H98" t="s">
        <v>17</v>
      </c>
      <c r="I98" s="3" t="s">
        <v>312</v>
      </c>
      <c r="J98" s="3" t="s">
        <v>313</v>
      </c>
    </row>
    <row r="99" spans="1:10" ht="42.75">
      <c r="A99" t="s">
        <v>310</v>
      </c>
      <c r="B99" t="s">
        <v>311</v>
      </c>
      <c r="C99" s="23">
        <v>2022</v>
      </c>
      <c r="D99" s="17">
        <v>23.5</v>
      </c>
      <c r="F99" s="17">
        <v>1.05</v>
      </c>
      <c r="G99" t="s">
        <v>396</v>
      </c>
      <c r="H99" t="s">
        <v>17</v>
      </c>
      <c r="I99" s="3" t="s">
        <v>312</v>
      </c>
      <c r="J99" s="3" t="s">
        <v>313</v>
      </c>
    </row>
    <row r="100" spans="1:10" ht="42.75">
      <c r="A100" t="s">
        <v>314</v>
      </c>
      <c r="B100" t="s">
        <v>315</v>
      </c>
      <c r="C100" s="23">
        <v>2025</v>
      </c>
      <c r="D100" s="17">
        <v>29.88</v>
      </c>
      <c r="F100" s="17">
        <v>1.04</v>
      </c>
      <c r="G100" t="s">
        <v>397</v>
      </c>
      <c r="H100" t="s">
        <v>17</v>
      </c>
      <c r="I100" s="3" t="s">
        <v>316</v>
      </c>
      <c r="J100" s="3" t="s">
        <v>317</v>
      </c>
    </row>
    <row r="101" spans="1:10">
      <c r="A101" t="s">
        <v>318</v>
      </c>
      <c r="B101" t="s">
        <v>319</v>
      </c>
      <c r="C101" s="23">
        <v>2024</v>
      </c>
      <c r="G101" t="s">
        <v>396</v>
      </c>
      <c r="J101" t="s">
        <v>320</v>
      </c>
    </row>
    <row r="102" spans="1:10" ht="15">
      <c r="A102" s="7" t="s">
        <v>321</v>
      </c>
      <c r="B102" t="s">
        <v>322</v>
      </c>
      <c r="C102" s="23">
        <v>2024</v>
      </c>
      <c r="D102" s="17">
        <v>19.899999999999999</v>
      </c>
      <c r="F102" s="17">
        <v>0.105</v>
      </c>
      <c r="G102" t="s">
        <v>396</v>
      </c>
      <c r="H102" t="s">
        <v>17</v>
      </c>
      <c r="I102" t="s">
        <v>323</v>
      </c>
      <c r="J102" t="s">
        <v>324</v>
      </c>
    </row>
    <row r="103" spans="1:10" ht="15">
      <c r="A103" s="7" t="s">
        <v>325</v>
      </c>
      <c r="B103" t="s">
        <v>326</v>
      </c>
      <c r="C103" s="23">
        <v>2023</v>
      </c>
      <c r="D103" s="17">
        <v>21.6</v>
      </c>
      <c r="G103" t="s">
        <v>396</v>
      </c>
      <c r="H103" t="s">
        <v>17</v>
      </c>
      <c r="I103" t="s">
        <v>327</v>
      </c>
      <c r="J103" t="s">
        <v>328</v>
      </c>
    </row>
    <row r="104" spans="1:10" ht="15">
      <c r="A104" s="8" t="s">
        <v>329</v>
      </c>
      <c r="B104" t="s">
        <v>330</v>
      </c>
      <c r="C104" s="23">
        <v>2025</v>
      </c>
      <c r="D104" s="17">
        <v>19.2</v>
      </c>
      <c r="E104" s="17">
        <v>19</v>
      </c>
      <c r="F104" s="17">
        <v>1.5699999999999999E-2</v>
      </c>
      <c r="G104" t="s">
        <v>396</v>
      </c>
      <c r="H104" t="s">
        <v>17</v>
      </c>
      <c r="I104" t="s">
        <v>331</v>
      </c>
      <c r="J104" t="s">
        <v>332</v>
      </c>
    </row>
    <row r="105" spans="1:10" ht="15">
      <c r="A105" s="8" t="s">
        <v>333</v>
      </c>
      <c r="B105" t="s">
        <v>334</v>
      </c>
      <c r="C105" s="23">
        <v>2024</v>
      </c>
      <c r="D105" s="17">
        <v>15.5</v>
      </c>
      <c r="G105" t="s">
        <v>396</v>
      </c>
      <c r="H105" t="s">
        <v>17</v>
      </c>
      <c r="I105" t="s">
        <v>335</v>
      </c>
      <c r="J105" t="s">
        <v>336</v>
      </c>
    </row>
    <row r="106" spans="1:10" ht="15">
      <c r="A106" s="8" t="s">
        <v>333</v>
      </c>
      <c r="B106" t="s">
        <v>334</v>
      </c>
      <c r="C106" s="23">
        <v>2024</v>
      </c>
      <c r="D106" s="17">
        <v>17</v>
      </c>
      <c r="E106" s="17">
        <v>15</v>
      </c>
      <c r="F106" s="17">
        <v>1</v>
      </c>
      <c r="G106" t="s">
        <v>396</v>
      </c>
      <c r="H106" t="s">
        <v>17</v>
      </c>
      <c r="I106" t="s">
        <v>337</v>
      </c>
      <c r="J106" t="s">
        <v>338</v>
      </c>
    </row>
    <row r="107" spans="1:10" ht="15">
      <c r="A107" s="7" t="s">
        <v>339</v>
      </c>
      <c r="B107" t="s">
        <v>330</v>
      </c>
      <c r="C107" s="23">
        <v>2025</v>
      </c>
      <c r="D107" s="17">
        <v>21.4</v>
      </c>
      <c r="E107" s="17">
        <v>20.2</v>
      </c>
      <c r="F107" s="17">
        <v>0.157</v>
      </c>
      <c r="G107" t="s">
        <v>396</v>
      </c>
      <c r="H107" t="s">
        <v>17</v>
      </c>
      <c r="I107" t="s">
        <v>340</v>
      </c>
      <c r="J107" t="s">
        <v>341</v>
      </c>
    </row>
    <row r="108" spans="1:10" ht="15">
      <c r="A108" s="8" t="s">
        <v>342</v>
      </c>
      <c r="B108" t="s">
        <v>343</v>
      </c>
      <c r="C108" s="23">
        <v>2022</v>
      </c>
      <c r="D108" s="17">
        <v>20.9</v>
      </c>
      <c r="F108" s="17">
        <v>0.113</v>
      </c>
      <c r="G108" t="s">
        <v>396</v>
      </c>
      <c r="H108" t="s">
        <v>17</v>
      </c>
      <c r="I108" t="s">
        <v>344</v>
      </c>
      <c r="J108" t="s">
        <v>345</v>
      </c>
    </row>
    <row r="109" spans="1:10" ht="15">
      <c r="A109" s="7" t="s">
        <v>346</v>
      </c>
      <c r="B109" t="s">
        <v>326</v>
      </c>
      <c r="C109" s="23">
        <v>2024</v>
      </c>
      <c r="D109" s="17">
        <v>23.1</v>
      </c>
      <c r="F109" s="17">
        <v>6.3E-2</v>
      </c>
      <c r="G109" t="s">
        <v>396</v>
      </c>
      <c r="H109" t="s">
        <v>17</v>
      </c>
      <c r="I109" t="s">
        <v>347</v>
      </c>
      <c r="J109" t="s">
        <v>348</v>
      </c>
    </row>
    <row r="110" spans="1:10" ht="15.75">
      <c r="A110" s="9" t="s">
        <v>349</v>
      </c>
      <c r="B110" s="9" t="s">
        <v>350</v>
      </c>
      <c r="C110" s="24">
        <v>2025</v>
      </c>
      <c r="D110" s="19">
        <v>17.78</v>
      </c>
      <c r="E110" s="19">
        <v>17.420000000000002</v>
      </c>
      <c r="F110" s="19">
        <v>0.09</v>
      </c>
      <c r="G110" t="s">
        <v>12</v>
      </c>
      <c r="H110" s="9" t="s">
        <v>17</v>
      </c>
      <c r="I110" s="9" t="s">
        <v>31</v>
      </c>
      <c r="J110" s="10" t="s">
        <v>32</v>
      </c>
    </row>
    <row r="111" spans="1:10" ht="15.75">
      <c r="A111" s="9" t="s">
        <v>349</v>
      </c>
      <c r="B111" s="9" t="s">
        <v>350</v>
      </c>
      <c r="C111" s="24">
        <v>2025</v>
      </c>
      <c r="D111" s="19">
        <v>16.78</v>
      </c>
      <c r="E111" s="19"/>
      <c r="F111" s="19">
        <v>1.05</v>
      </c>
      <c r="G111" t="s">
        <v>12</v>
      </c>
      <c r="H111" s="9" t="s">
        <v>17</v>
      </c>
      <c r="I111" s="9" t="s">
        <v>31</v>
      </c>
      <c r="J111" s="10" t="s">
        <v>32</v>
      </c>
    </row>
    <row r="112" spans="1:10" ht="15.75">
      <c r="A112" s="9" t="s">
        <v>349</v>
      </c>
      <c r="B112" s="9" t="s">
        <v>350</v>
      </c>
      <c r="C112" s="24">
        <v>2025</v>
      </c>
      <c r="D112" s="19">
        <v>15.35</v>
      </c>
      <c r="E112" s="19"/>
      <c r="F112" s="19">
        <v>2.1</v>
      </c>
      <c r="G112" t="s">
        <v>12</v>
      </c>
      <c r="H112" s="9" t="s">
        <v>17</v>
      </c>
      <c r="I112" s="9" t="s">
        <v>31</v>
      </c>
      <c r="J112" s="10" t="s">
        <v>32</v>
      </c>
    </row>
    <row r="113" spans="1:10" ht="15.75">
      <c r="A113" s="9" t="s">
        <v>349</v>
      </c>
      <c r="B113" s="9" t="s">
        <v>350</v>
      </c>
      <c r="C113" s="24">
        <v>2025</v>
      </c>
      <c r="D113" s="19">
        <v>13.14</v>
      </c>
      <c r="E113" s="19" t="s">
        <v>351</v>
      </c>
      <c r="F113" s="19">
        <v>13</v>
      </c>
      <c r="G113" t="s">
        <v>12</v>
      </c>
      <c r="H113" s="9" t="s">
        <v>33</v>
      </c>
      <c r="I113" s="9" t="s">
        <v>31</v>
      </c>
      <c r="J113" s="10" t="s">
        <v>32</v>
      </c>
    </row>
    <row r="114" spans="1:10" ht="15.75">
      <c r="A114" s="9" t="s">
        <v>349</v>
      </c>
      <c r="B114" s="9" t="s">
        <v>350</v>
      </c>
      <c r="C114" s="24">
        <v>2025</v>
      </c>
      <c r="D114" s="19">
        <v>14.57</v>
      </c>
      <c r="E114" s="19">
        <v>14.2</v>
      </c>
      <c r="F114" s="19">
        <v>0.09</v>
      </c>
      <c r="G114" t="s">
        <v>12</v>
      </c>
      <c r="H114" s="9" t="s">
        <v>17</v>
      </c>
      <c r="I114" s="9" t="s">
        <v>31</v>
      </c>
      <c r="J114" s="10" t="s">
        <v>34</v>
      </c>
    </row>
    <row r="115" spans="1:10" ht="15.75">
      <c r="A115" s="9" t="s">
        <v>349</v>
      </c>
      <c r="B115" s="9" t="s">
        <v>350</v>
      </c>
      <c r="C115" s="24">
        <v>2025</v>
      </c>
      <c r="D115" s="19">
        <v>16.649999999999999</v>
      </c>
      <c r="E115" s="19">
        <v>15.27</v>
      </c>
      <c r="F115" s="19">
        <v>0.09</v>
      </c>
      <c r="G115" t="s">
        <v>12</v>
      </c>
      <c r="H115" s="9" t="s">
        <v>17</v>
      </c>
      <c r="I115" s="9" t="s">
        <v>31</v>
      </c>
      <c r="J115" s="10" t="s">
        <v>32</v>
      </c>
    </row>
    <row r="116" spans="1:10" ht="15.75">
      <c r="A116" s="9" t="s">
        <v>349</v>
      </c>
      <c r="B116" s="9" t="s">
        <v>350</v>
      </c>
      <c r="C116" s="24">
        <v>2025</v>
      </c>
      <c r="D116" s="19">
        <v>15.99</v>
      </c>
      <c r="E116" s="19">
        <v>15.68</v>
      </c>
      <c r="F116" s="19">
        <v>0.09</v>
      </c>
      <c r="G116" t="s">
        <v>12</v>
      </c>
      <c r="H116" s="9" t="s">
        <v>17</v>
      </c>
      <c r="I116" s="9" t="s">
        <v>31</v>
      </c>
      <c r="J116" s="10" t="s">
        <v>32</v>
      </c>
    </row>
    <row r="117" spans="1:10" ht="15.75">
      <c r="A117" s="11" t="s">
        <v>352</v>
      </c>
      <c r="B117" s="9" t="s">
        <v>353</v>
      </c>
      <c r="C117" s="24">
        <v>2025</v>
      </c>
      <c r="D117" s="19">
        <v>19.8</v>
      </c>
      <c r="E117" s="19">
        <v>18.43</v>
      </c>
      <c r="F117" s="19">
        <v>0.105</v>
      </c>
      <c r="G117" t="s">
        <v>12</v>
      </c>
      <c r="H117" s="9" t="s">
        <v>17</v>
      </c>
      <c r="I117" s="9" t="s">
        <v>354</v>
      </c>
      <c r="J117" s="10" t="s">
        <v>355</v>
      </c>
    </row>
    <row r="118" spans="1:10" ht="15.75">
      <c r="A118" s="9" t="s">
        <v>352</v>
      </c>
      <c r="B118" s="9" t="s">
        <v>353</v>
      </c>
      <c r="C118" s="24">
        <v>2025</v>
      </c>
      <c r="D118" s="19">
        <v>18.2</v>
      </c>
      <c r="E118" s="19">
        <v>17.8</v>
      </c>
      <c r="F118" s="19">
        <v>0.105</v>
      </c>
      <c r="G118" t="s">
        <v>12</v>
      </c>
      <c r="H118" s="9" t="s">
        <v>17</v>
      </c>
      <c r="I118" s="9" t="s">
        <v>356</v>
      </c>
      <c r="J118" s="10" t="s">
        <v>357</v>
      </c>
    </row>
    <row r="119" spans="1:10" ht="15.75">
      <c r="A119" s="9" t="s">
        <v>352</v>
      </c>
      <c r="B119" s="9" t="s">
        <v>353</v>
      </c>
      <c r="C119" s="24">
        <v>2025</v>
      </c>
      <c r="D119" s="19"/>
      <c r="E119" s="19">
        <v>16.440000000000001</v>
      </c>
      <c r="F119" s="19">
        <v>0.105</v>
      </c>
      <c r="G119" t="s">
        <v>12</v>
      </c>
      <c r="H119" s="9" t="s">
        <v>17</v>
      </c>
      <c r="I119" s="9" t="s">
        <v>354</v>
      </c>
      <c r="J119" s="10" t="s">
        <v>355</v>
      </c>
    </row>
    <row r="120" spans="1:10" ht="15.75">
      <c r="A120" s="9" t="s">
        <v>352</v>
      </c>
      <c r="B120" s="9" t="s">
        <v>353</v>
      </c>
      <c r="C120" s="24">
        <v>2025</v>
      </c>
      <c r="D120" s="19">
        <v>27.43</v>
      </c>
      <c r="E120" s="19">
        <v>25.6</v>
      </c>
      <c r="F120" s="19">
        <v>1</v>
      </c>
      <c r="G120" t="s">
        <v>12</v>
      </c>
      <c r="H120" s="9" t="s">
        <v>17</v>
      </c>
      <c r="I120" s="9" t="s">
        <v>358</v>
      </c>
      <c r="J120" s="10" t="s">
        <v>355</v>
      </c>
    </row>
    <row r="121" spans="1:10">
      <c r="A121" s="9"/>
      <c r="B121" s="9" t="s">
        <v>359</v>
      </c>
      <c r="C121" s="24">
        <v>2024</v>
      </c>
      <c r="D121" s="19"/>
      <c r="E121" s="19"/>
      <c r="F121" s="19"/>
      <c r="G121" s="9"/>
      <c r="H121" s="9"/>
      <c r="I121" s="9"/>
      <c r="J121" s="9"/>
    </row>
    <row r="122" spans="1:10" ht="18.75">
      <c r="A122" s="9" t="s">
        <v>360</v>
      </c>
      <c r="B122" s="9" t="s">
        <v>361</v>
      </c>
      <c r="C122" s="24">
        <v>2021</v>
      </c>
      <c r="D122" s="19"/>
      <c r="E122" s="19"/>
      <c r="F122" s="19"/>
      <c r="G122" t="s">
        <v>396</v>
      </c>
      <c r="H122" s="9" t="s">
        <v>17</v>
      </c>
      <c r="I122" s="9" t="s">
        <v>362</v>
      </c>
      <c r="J122" s="9" t="s">
        <v>363</v>
      </c>
    </row>
    <row r="123" spans="1:10" ht="18.75">
      <c r="A123" s="9" t="s">
        <v>364</v>
      </c>
      <c r="B123" s="9" t="s">
        <v>361</v>
      </c>
      <c r="C123" s="24">
        <v>2023</v>
      </c>
      <c r="D123" s="19">
        <v>9.14</v>
      </c>
      <c r="E123" s="19"/>
      <c r="F123" s="19"/>
      <c r="G123" t="s">
        <v>12</v>
      </c>
      <c r="H123" s="9" t="s">
        <v>17</v>
      </c>
      <c r="I123" s="9" t="s">
        <v>365</v>
      </c>
      <c r="J123" s="9" t="s">
        <v>366</v>
      </c>
    </row>
    <row r="124" spans="1:10">
      <c r="A124" s="9" t="s">
        <v>367</v>
      </c>
      <c r="B124" s="9" t="s">
        <v>350</v>
      </c>
      <c r="C124" s="24">
        <v>2024</v>
      </c>
      <c r="D124" s="19">
        <v>15.47</v>
      </c>
      <c r="E124" s="19">
        <v>14.46</v>
      </c>
      <c r="F124" s="19">
        <v>0.09</v>
      </c>
      <c r="G124" t="s">
        <v>12</v>
      </c>
      <c r="H124" s="9" t="s">
        <v>17</v>
      </c>
      <c r="I124" s="9" t="s">
        <v>31</v>
      </c>
      <c r="J124" s="9" t="s">
        <v>368</v>
      </c>
    </row>
    <row r="125" spans="1:10">
      <c r="A125" s="9" t="s">
        <v>367</v>
      </c>
      <c r="B125" s="9" t="s">
        <v>350</v>
      </c>
      <c r="C125" s="24">
        <v>2024</v>
      </c>
      <c r="D125" s="19">
        <v>17.5</v>
      </c>
      <c r="E125" s="19">
        <v>17.3</v>
      </c>
      <c r="F125" s="19">
        <v>1.05</v>
      </c>
      <c r="G125" t="s">
        <v>12</v>
      </c>
      <c r="H125" s="9" t="s">
        <v>17</v>
      </c>
      <c r="I125" s="9" t="s">
        <v>31</v>
      </c>
      <c r="J125" s="9" t="s">
        <v>369</v>
      </c>
    </row>
    <row r="126" spans="1:10">
      <c r="A126" s="9" t="s">
        <v>367</v>
      </c>
      <c r="B126" s="9" t="s">
        <v>350</v>
      </c>
      <c r="C126" s="24">
        <v>2024</v>
      </c>
      <c r="D126" s="19">
        <v>14.7</v>
      </c>
      <c r="E126" s="19">
        <v>13.48</v>
      </c>
      <c r="F126" s="19">
        <v>2.1</v>
      </c>
      <c r="G126" t="s">
        <v>12</v>
      </c>
      <c r="H126" s="9" t="s">
        <v>17</v>
      </c>
      <c r="I126" s="9" t="s">
        <v>31</v>
      </c>
      <c r="J126" s="9" t="s">
        <v>369</v>
      </c>
    </row>
    <row r="127" spans="1:10">
      <c r="A127" s="9" t="s">
        <v>367</v>
      </c>
      <c r="B127" s="9" t="s">
        <v>350</v>
      </c>
      <c r="C127" s="24">
        <v>2024</v>
      </c>
      <c r="D127" s="19">
        <v>13.77</v>
      </c>
      <c r="E127" s="19">
        <v>12.05</v>
      </c>
      <c r="F127" s="19">
        <v>0.09</v>
      </c>
      <c r="G127" t="s">
        <v>12</v>
      </c>
      <c r="H127" s="9" t="s">
        <v>17</v>
      </c>
      <c r="I127" s="9" t="s">
        <v>31</v>
      </c>
      <c r="J127" s="9" t="s">
        <v>369</v>
      </c>
    </row>
    <row r="128" spans="1:10">
      <c r="A128" s="9" t="s">
        <v>367</v>
      </c>
      <c r="B128" s="9" t="s">
        <v>350</v>
      </c>
      <c r="C128" s="24">
        <v>2024</v>
      </c>
      <c r="D128" s="19">
        <v>13.8</v>
      </c>
      <c r="E128" s="19">
        <v>12.99</v>
      </c>
      <c r="F128" s="19">
        <v>0.09</v>
      </c>
      <c r="G128" t="s">
        <v>12</v>
      </c>
      <c r="H128" s="9" t="s">
        <v>17</v>
      </c>
      <c r="I128" s="9" t="s">
        <v>31</v>
      </c>
      <c r="J128" s="9" t="s">
        <v>370</v>
      </c>
    </row>
    <row r="129" spans="1:10">
      <c r="A129" s="9" t="s">
        <v>367</v>
      </c>
      <c r="B129" s="9" t="s">
        <v>350</v>
      </c>
      <c r="C129" s="24">
        <v>2024</v>
      </c>
      <c r="D129" s="19">
        <v>16.239999999999998</v>
      </c>
      <c r="E129" s="19">
        <v>15.32</v>
      </c>
      <c r="F129" s="19">
        <v>0.09</v>
      </c>
      <c r="G129" t="s">
        <v>12</v>
      </c>
      <c r="H129" s="9" t="s">
        <v>17</v>
      </c>
      <c r="I129" s="9" t="s">
        <v>31</v>
      </c>
      <c r="J129" s="9" t="s">
        <v>371</v>
      </c>
    </row>
    <row r="130" spans="1:10">
      <c r="A130" s="9" t="s">
        <v>367</v>
      </c>
      <c r="B130" s="9" t="s">
        <v>350</v>
      </c>
      <c r="C130" s="24">
        <v>2024</v>
      </c>
      <c r="D130" s="19">
        <v>17.5</v>
      </c>
      <c r="E130" s="19">
        <v>17.309999999999999</v>
      </c>
      <c r="F130" s="19">
        <v>0.09</v>
      </c>
      <c r="G130" t="s">
        <v>12</v>
      </c>
      <c r="H130" s="9" t="s">
        <v>17</v>
      </c>
      <c r="I130" s="9" t="s">
        <v>31</v>
      </c>
      <c r="J130" s="9" t="s">
        <v>372</v>
      </c>
    </row>
    <row r="131" spans="1:10">
      <c r="A131" s="9" t="s">
        <v>367</v>
      </c>
      <c r="B131" s="9" t="s">
        <v>350</v>
      </c>
      <c r="C131" s="24">
        <v>2024</v>
      </c>
      <c r="D131" s="19">
        <v>11.37</v>
      </c>
      <c r="E131" s="19"/>
      <c r="F131" s="19">
        <v>12.3</v>
      </c>
      <c r="G131" t="s">
        <v>12</v>
      </c>
      <c r="H131" s="9" t="s">
        <v>33</v>
      </c>
      <c r="I131" s="9" t="s">
        <v>31</v>
      </c>
      <c r="J131" s="9" t="s">
        <v>373</v>
      </c>
    </row>
    <row r="132" spans="1:10">
      <c r="A132" s="9"/>
      <c r="B132" s="9"/>
      <c r="C132" s="24"/>
      <c r="D132" s="19"/>
      <c r="E132" s="19"/>
      <c r="F132" s="19" t="s">
        <v>351</v>
      </c>
      <c r="G132" s="9"/>
      <c r="H132" s="9"/>
      <c r="I132" s="9"/>
      <c r="J132" s="9"/>
    </row>
    <row r="133" spans="1:10" ht="15">
      <c r="A133" s="9" t="s">
        <v>374</v>
      </c>
      <c r="B133" s="9" t="s">
        <v>375</v>
      </c>
      <c r="C133" s="24">
        <v>2018</v>
      </c>
      <c r="D133" s="19">
        <v>17.04</v>
      </c>
      <c r="E133" s="19"/>
      <c r="F133" s="19">
        <v>0.04</v>
      </c>
      <c r="G133" t="s">
        <v>12</v>
      </c>
      <c r="H133" s="9" t="s">
        <v>17</v>
      </c>
      <c r="I133" s="9" t="s">
        <v>376</v>
      </c>
      <c r="J133" s="12" t="s">
        <v>377</v>
      </c>
    </row>
    <row r="134" spans="1:10" ht="15">
      <c r="A134" s="9" t="s">
        <v>374</v>
      </c>
      <c r="B134" s="9" t="s">
        <v>375</v>
      </c>
      <c r="C134" s="24">
        <v>2018</v>
      </c>
      <c r="D134" s="19">
        <v>13.27</v>
      </c>
      <c r="E134" s="19"/>
      <c r="F134" s="19">
        <v>4</v>
      </c>
      <c r="G134" t="s">
        <v>12</v>
      </c>
      <c r="H134" s="9" t="s">
        <v>17</v>
      </c>
      <c r="I134" s="9" t="s">
        <v>376</v>
      </c>
      <c r="J134" s="12" t="s">
        <v>377</v>
      </c>
    </row>
    <row r="135" spans="1:10" ht="15">
      <c r="A135" s="9" t="s">
        <v>378</v>
      </c>
      <c r="B135" s="9" t="s">
        <v>125</v>
      </c>
      <c r="C135" s="24">
        <v>2019</v>
      </c>
      <c r="D135" s="19">
        <v>19</v>
      </c>
      <c r="E135" s="19"/>
      <c r="F135" s="19">
        <v>0.08</v>
      </c>
      <c r="G135" t="s">
        <v>12</v>
      </c>
      <c r="H135" s="9"/>
      <c r="I135" s="9" t="s">
        <v>379</v>
      </c>
      <c r="J135" s="12" t="s">
        <v>380</v>
      </c>
    </row>
    <row r="136" spans="1:10" ht="15">
      <c r="A136" s="9"/>
      <c r="B136" s="9"/>
      <c r="C136" s="24"/>
      <c r="D136" s="19"/>
      <c r="E136" s="19"/>
      <c r="F136" s="19"/>
      <c r="G136" s="9"/>
      <c r="H136" s="9"/>
      <c r="I136" s="9"/>
      <c r="J136" s="12"/>
    </row>
    <row r="137" spans="1:10" ht="15">
      <c r="A137" s="9"/>
      <c r="B137" s="9"/>
      <c r="C137" s="24"/>
      <c r="D137" s="19"/>
      <c r="E137" s="19"/>
      <c r="F137" s="19"/>
      <c r="G137" s="9"/>
      <c r="H137" s="9"/>
      <c r="I137" s="9"/>
      <c r="J137" s="12"/>
    </row>
    <row r="138" spans="1:10" ht="15">
      <c r="A138" s="9"/>
      <c r="B138" s="9"/>
      <c r="C138" s="24"/>
      <c r="D138" s="19"/>
      <c r="E138" s="19"/>
      <c r="F138" s="19"/>
      <c r="G138" s="9"/>
      <c r="H138" s="9"/>
      <c r="I138" s="9"/>
      <c r="J138" s="12"/>
    </row>
    <row r="139" spans="1:10">
      <c r="A139" s="9"/>
      <c r="B139" s="9"/>
      <c r="C139" s="24"/>
      <c r="D139" s="19"/>
      <c r="E139" s="19"/>
      <c r="F139" s="19"/>
      <c r="G139" s="9"/>
      <c r="H139" s="9"/>
      <c r="I139" s="9"/>
      <c r="J139" s="9"/>
    </row>
    <row r="140" spans="1:10">
      <c r="A140" s="9" t="s">
        <v>381</v>
      </c>
      <c r="B140" s="9" t="s">
        <v>382</v>
      </c>
      <c r="C140" s="24">
        <v>2020</v>
      </c>
      <c r="D140" s="19">
        <v>19.600000000000001</v>
      </c>
      <c r="E140" s="19"/>
      <c r="F140" s="19">
        <v>0.04</v>
      </c>
      <c r="G140" t="s">
        <v>12</v>
      </c>
      <c r="H140" s="9" t="s">
        <v>17</v>
      </c>
      <c r="I140" s="9" t="s">
        <v>383</v>
      </c>
      <c r="J140" s="9" t="s">
        <v>384</v>
      </c>
    </row>
    <row r="141" spans="1:10">
      <c r="A141" s="9" t="s">
        <v>381</v>
      </c>
      <c r="B141" s="9" t="s">
        <v>382</v>
      </c>
      <c r="C141" s="24">
        <v>2020</v>
      </c>
      <c r="D141" s="19">
        <v>17.899999999999999</v>
      </c>
      <c r="F141" s="19">
        <v>1.01</v>
      </c>
      <c r="G141" t="s">
        <v>12</v>
      </c>
      <c r="H141" s="9" t="s">
        <v>17</v>
      </c>
      <c r="I141" s="9" t="s">
        <v>383</v>
      </c>
    </row>
    <row r="142" spans="1:10">
      <c r="A142" s="2" t="s">
        <v>385</v>
      </c>
      <c r="B142" s="9" t="s">
        <v>386</v>
      </c>
      <c r="C142" s="24">
        <v>2018</v>
      </c>
      <c r="D142" s="19">
        <v>18.64</v>
      </c>
      <c r="E142" s="19">
        <v>18.2</v>
      </c>
      <c r="F142" s="19">
        <v>0.04</v>
      </c>
      <c r="G142" t="s">
        <v>12</v>
      </c>
      <c r="H142" s="9" t="s">
        <v>17</v>
      </c>
      <c r="I142" s="9" t="s">
        <v>376</v>
      </c>
      <c r="J142" s="9" t="s">
        <v>387</v>
      </c>
    </row>
    <row r="143" spans="1:10">
      <c r="A143" s="2" t="s">
        <v>385</v>
      </c>
      <c r="B143" s="9" t="s">
        <v>386</v>
      </c>
      <c r="C143" s="24">
        <v>2018</v>
      </c>
      <c r="D143" s="19">
        <v>17.739999999999998</v>
      </c>
      <c r="E143" s="19"/>
      <c r="F143" s="19">
        <v>2</v>
      </c>
      <c r="G143" t="s">
        <v>12</v>
      </c>
      <c r="H143" s="9" t="s">
        <v>17</v>
      </c>
      <c r="I143" s="9" t="s">
        <v>376</v>
      </c>
      <c r="J143" s="9"/>
    </row>
    <row r="144" spans="1:10" ht="51.75">
      <c r="A144" s="13" t="s">
        <v>388</v>
      </c>
      <c r="B144" s="14" t="s">
        <v>389</v>
      </c>
      <c r="C144" s="25">
        <v>2024</v>
      </c>
      <c r="D144" s="20">
        <v>19</v>
      </c>
      <c r="E144" s="20"/>
      <c r="F144" s="20">
        <v>0.105</v>
      </c>
      <c r="G144" t="s">
        <v>12</v>
      </c>
      <c r="H144" s="14" t="s">
        <v>17</v>
      </c>
      <c r="I144" s="14" t="s">
        <v>390</v>
      </c>
      <c r="J144" s="14" t="s">
        <v>391</v>
      </c>
    </row>
    <row r="145" spans="1:10" ht="51.75">
      <c r="A145" s="13" t="s">
        <v>388</v>
      </c>
      <c r="B145" s="14" t="s">
        <v>389</v>
      </c>
      <c r="C145" s="25">
        <v>2024</v>
      </c>
      <c r="D145" s="20">
        <v>18</v>
      </c>
      <c r="E145" s="20">
        <v>16.239999999999998</v>
      </c>
      <c r="F145" s="20">
        <v>0.105</v>
      </c>
      <c r="G145" t="s">
        <v>12</v>
      </c>
      <c r="H145" s="14" t="s">
        <v>17</v>
      </c>
      <c r="I145" s="14" t="s">
        <v>390</v>
      </c>
      <c r="J145" s="14" t="s">
        <v>391</v>
      </c>
    </row>
    <row r="146" spans="1:10" ht="28.5">
      <c r="A146" s="14" t="s">
        <v>392</v>
      </c>
      <c r="B146" s="14" t="s">
        <v>393</v>
      </c>
      <c r="C146" s="25">
        <v>2025</v>
      </c>
      <c r="D146" s="21">
        <v>13.44</v>
      </c>
      <c r="E146" s="20"/>
      <c r="F146" s="20">
        <v>3.75</v>
      </c>
      <c r="G146" t="s">
        <v>396</v>
      </c>
      <c r="H146" s="14" t="s">
        <v>17</v>
      </c>
      <c r="I146" s="14" t="s">
        <v>394</v>
      </c>
      <c r="J146" s="15" t="s">
        <v>395</v>
      </c>
    </row>
    <row r="147" spans="1:10" ht="28.5">
      <c r="A147" s="26" t="s">
        <v>399</v>
      </c>
      <c r="B147" s="27" t="s">
        <v>421</v>
      </c>
      <c r="C147" s="28">
        <v>2024</v>
      </c>
      <c r="D147" s="28">
        <v>11</v>
      </c>
      <c r="E147" s="28"/>
      <c r="F147" s="28"/>
      <c r="G147" s="27" t="s">
        <v>428</v>
      </c>
      <c r="H147" t="s">
        <v>17</v>
      </c>
      <c r="I147" s="28" t="s">
        <v>400</v>
      </c>
      <c r="J147" s="27"/>
    </row>
    <row r="148" spans="1:10" ht="28.5">
      <c r="A148" s="29" t="s">
        <v>401</v>
      </c>
      <c r="B148" s="30" t="s">
        <v>422</v>
      </c>
      <c r="C148">
        <v>2021</v>
      </c>
      <c r="D148">
        <v>12.2</v>
      </c>
      <c r="E148">
        <v>11</v>
      </c>
      <c r="F148">
        <v>0.06</v>
      </c>
      <c r="G148" s="27" t="s">
        <v>428</v>
      </c>
      <c r="H148" t="s">
        <v>17</v>
      </c>
      <c r="I148" t="s">
        <v>402</v>
      </c>
      <c r="J148" s="3"/>
    </row>
    <row r="149" spans="1:10" ht="28.5">
      <c r="A149" s="29" t="s">
        <v>401</v>
      </c>
      <c r="B149" s="30" t="s">
        <v>422</v>
      </c>
      <c r="C149">
        <v>2021</v>
      </c>
      <c r="D149" s="28">
        <v>9.9</v>
      </c>
      <c r="E149" s="28">
        <v>8.6</v>
      </c>
      <c r="F149" s="28">
        <v>0.06</v>
      </c>
      <c r="G149" s="27" t="s">
        <v>428</v>
      </c>
      <c r="H149" t="s">
        <v>17</v>
      </c>
      <c r="I149" s="28" t="s">
        <v>402</v>
      </c>
      <c r="J149" s="27"/>
    </row>
    <row r="150" spans="1:10" ht="28.5">
      <c r="A150" s="32" t="s">
        <v>403</v>
      </c>
      <c r="B150" s="33" t="s">
        <v>423</v>
      </c>
      <c r="C150" s="34">
        <v>2022</v>
      </c>
      <c r="D150" s="34">
        <v>17</v>
      </c>
      <c r="E150" s="34"/>
      <c r="F150" s="34">
        <v>0.2</v>
      </c>
      <c r="G150" s="27" t="s">
        <v>428</v>
      </c>
      <c r="H150" t="s">
        <v>17</v>
      </c>
      <c r="I150" s="34" t="s">
        <v>404</v>
      </c>
      <c r="J150" s="33"/>
    </row>
    <row r="151" spans="1:10">
      <c r="A151" s="35" t="s">
        <v>405</v>
      </c>
      <c r="B151" s="33"/>
      <c r="C151" s="34"/>
      <c r="D151" s="34"/>
      <c r="E151" s="34"/>
      <c r="F151" s="34"/>
      <c r="G151" s="34"/>
      <c r="H151" s="34"/>
      <c r="I151" s="34"/>
      <c r="J151" s="33"/>
    </row>
    <row r="152" spans="1:10">
      <c r="A152" s="31" t="s">
        <v>406</v>
      </c>
      <c r="B152" s="27"/>
      <c r="C152" s="28"/>
      <c r="D152" s="28"/>
      <c r="E152" s="28"/>
      <c r="F152" s="28"/>
      <c r="G152" s="28"/>
      <c r="H152" s="28"/>
      <c r="I152" s="28"/>
      <c r="J152" s="27"/>
    </row>
    <row r="153" spans="1:10" ht="28.5">
      <c r="A153" s="31" t="s">
        <v>407</v>
      </c>
      <c r="B153" s="27" t="s">
        <v>424</v>
      </c>
      <c r="C153" s="28">
        <v>2024</v>
      </c>
      <c r="D153" s="28">
        <v>13.4</v>
      </c>
      <c r="E153" s="28"/>
      <c r="F153" s="28">
        <v>0.09</v>
      </c>
      <c r="G153" s="27" t="s">
        <v>428</v>
      </c>
      <c r="H153" t="s">
        <v>17</v>
      </c>
      <c r="I153" s="28" t="s">
        <v>408</v>
      </c>
      <c r="J153" s="27" t="s">
        <v>409</v>
      </c>
    </row>
    <row r="154" spans="1:10" ht="28.5">
      <c r="A154" s="29" t="s">
        <v>410</v>
      </c>
      <c r="B154" s="3" t="s">
        <v>425</v>
      </c>
      <c r="C154">
        <v>2020</v>
      </c>
      <c r="D154">
        <v>19.100000000000001</v>
      </c>
      <c r="E154"/>
      <c r="F154">
        <v>9.6000000000000002E-2</v>
      </c>
      <c r="G154" s="27" t="s">
        <v>428</v>
      </c>
      <c r="H154" t="s">
        <v>17</v>
      </c>
      <c r="I154" t="s">
        <v>411</v>
      </c>
      <c r="J154" s="3" t="s">
        <v>412</v>
      </c>
    </row>
    <row r="155" spans="1:10" ht="28.5">
      <c r="A155" s="29" t="s">
        <v>410</v>
      </c>
      <c r="B155" s="3" t="s">
        <v>425</v>
      </c>
      <c r="C155">
        <v>2020</v>
      </c>
      <c r="D155">
        <v>16.7</v>
      </c>
      <c r="E155"/>
      <c r="F155">
        <v>9.6000000000000002E-2</v>
      </c>
      <c r="G155" s="27" t="s">
        <v>428</v>
      </c>
      <c r="H155" t="s">
        <v>17</v>
      </c>
      <c r="I155" t="s">
        <v>411</v>
      </c>
      <c r="J155" s="3"/>
    </row>
    <row r="156" spans="1:10" ht="28.5">
      <c r="A156" s="29" t="s">
        <v>410</v>
      </c>
      <c r="B156" s="3" t="s">
        <v>425</v>
      </c>
      <c r="C156">
        <v>2020</v>
      </c>
      <c r="D156">
        <v>13.8</v>
      </c>
      <c r="E156"/>
      <c r="F156">
        <v>9.6000000000000002E-2</v>
      </c>
      <c r="G156" s="27" t="s">
        <v>428</v>
      </c>
      <c r="H156" t="s">
        <v>17</v>
      </c>
      <c r="I156" t="s">
        <v>413</v>
      </c>
      <c r="J156" s="3"/>
    </row>
    <row r="157" spans="1:10" ht="28.5">
      <c r="A157" s="29" t="s">
        <v>410</v>
      </c>
      <c r="B157" s="3" t="s">
        <v>425</v>
      </c>
      <c r="C157">
        <v>2020</v>
      </c>
      <c r="D157">
        <v>12.9</v>
      </c>
      <c r="E157"/>
      <c r="F157">
        <v>1</v>
      </c>
      <c r="G157" s="27" t="s">
        <v>428</v>
      </c>
      <c r="H157" t="s">
        <v>17</v>
      </c>
      <c r="I157" t="s">
        <v>413</v>
      </c>
      <c r="J157" s="3"/>
    </row>
    <row r="158" spans="1:10" ht="28.5">
      <c r="A158" s="32" t="s">
        <v>414</v>
      </c>
      <c r="B158" s="33" t="s">
        <v>426</v>
      </c>
      <c r="C158" s="34">
        <v>2019</v>
      </c>
      <c r="D158" s="34">
        <v>10.56</v>
      </c>
      <c r="E158" s="34">
        <v>9.9700000000000006</v>
      </c>
      <c r="F158" s="34">
        <v>7.0000000000000007E-2</v>
      </c>
      <c r="G158" s="27" t="s">
        <v>428</v>
      </c>
      <c r="H158" s="34"/>
      <c r="I158" s="34" t="s">
        <v>415</v>
      </c>
      <c r="J158" s="33" t="s">
        <v>416</v>
      </c>
    </row>
    <row r="159" spans="1:10" ht="28.5">
      <c r="A159" s="29" t="s">
        <v>417</v>
      </c>
      <c r="B159" s="3" t="s">
        <v>427</v>
      </c>
      <c r="C159">
        <v>2019</v>
      </c>
      <c r="D159">
        <v>17.2</v>
      </c>
      <c r="E159">
        <v>16</v>
      </c>
      <c r="F159"/>
      <c r="G159" s="27" t="s">
        <v>428</v>
      </c>
      <c r="I159" t="s">
        <v>418</v>
      </c>
      <c r="J159" s="3" t="s">
        <v>419</v>
      </c>
    </row>
    <row r="160" spans="1:10" ht="28.5">
      <c r="A160" s="29" t="s">
        <v>417</v>
      </c>
      <c r="B160" s="3" t="s">
        <v>427</v>
      </c>
      <c r="C160">
        <v>2019</v>
      </c>
      <c r="D160" s="28">
        <v>9.6999999999999993</v>
      </c>
      <c r="E160" s="28"/>
      <c r="F160" s="28"/>
      <c r="G160" s="27" t="s">
        <v>428</v>
      </c>
      <c r="H160" s="28"/>
      <c r="I160" s="28" t="s">
        <v>420</v>
      </c>
      <c r="J160" s="27"/>
    </row>
    <row r="161" spans="1:8" ht="15">
      <c r="A161" s="36" t="s">
        <v>429</v>
      </c>
      <c r="C161" s="36">
        <v>2025</v>
      </c>
      <c r="D161" s="36">
        <v>18.600000000000001</v>
      </c>
      <c r="F161" s="36">
        <v>0.1</v>
      </c>
      <c r="G161" s="37" t="s">
        <v>432</v>
      </c>
      <c r="H161" t="s">
        <v>17</v>
      </c>
    </row>
    <row r="162" spans="1:8" ht="15">
      <c r="A162" s="36" t="s">
        <v>430</v>
      </c>
      <c r="C162" s="36">
        <v>2025</v>
      </c>
      <c r="D162" s="36">
        <v>21.8</v>
      </c>
      <c r="F162" s="36">
        <v>0.05</v>
      </c>
      <c r="G162" s="37" t="s">
        <v>432</v>
      </c>
      <c r="H162" t="s">
        <v>17</v>
      </c>
    </row>
    <row r="163" spans="1:8" ht="15">
      <c r="A163" s="36" t="s">
        <v>430</v>
      </c>
      <c r="C163" s="36">
        <v>2025</v>
      </c>
      <c r="D163" s="36">
        <v>18.95</v>
      </c>
      <c r="F163" s="36">
        <v>12.6</v>
      </c>
      <c r="G163" s="37" t="s">
        <v>432</v>
      </c>
      <c r="H163" t="s">
        <v>33</v>
      </c>
    </row>
    <row r="164" spans="1:8" ht="15">
      <c r="A164" s="36" t="s">
        <v>431</v>
      </c>
      <c r="C164" s="36">
        <v>2025</v>
      </c>
      <c r="D164" s="36">
        <v>19.47</v>
      </c>
      <c r="F164" s="38">
        <v>4.4999999999999998E-2</v>
      </c>
      <c r="G164" s="37" t="s">
        <v>432</v>
      </c>
      <c r="H164" t="s">
        <v>17</v>
      </c>
    </row>
  </sheetData>
  <hyperlinks>
    <hyperlink ref="A2" r:id="rId1" xr:uid="{00000000-0004-0000-0000-000000000000}"/>
    <hyperlink ref="A3" r:id="rId2" xr:uid="{00000000-0004-0000-0000-000001000000}"/>
    <hyperlink ref="A13" r:id="rId3" xr:uid="{A1C25E73-0C9C-4D82-8ECE-B277B503391D}"/>
    <hyperlink ref="A20" r:id="rId4" xr:uid="{033C6EF5-2E3A-47C9-A1F8-981ECFFD60A4}"/>
    <hyperlink ref="A26" r:id="rId5" xr:uid="{1BB2F0E4-7CC3-4B74-A9C5-DC23FF0CA1BE}"/>
    <hyperlink ref="A27" r:id="rId6" xr:uid="{6A2D02AA-D632-494C-873B-385E21B67894}"/>
    <hyperlink ref="A29" r:id="rId7" xr:uid="{469A2C0A-0C5E-4E32-96DE-E3B7119E4D25}"/>
    <hyperlink ref="A30" r:id="rId8" xr:uid="{D93C23A3-BBFC-4E50-9893-4A62EFB381E2}"/>
    <hyperlink ref="A31" r:id="rId9" xr:uid="{BD11F54C-BDF5-4C8F-A147-E4E84D5EB407}"/>
    <hyperlink ref="A32" r:id="rId10" xr:uid="{533CCDA0-248D-424B-8E09-B5ACE0DD9544}"/>
    <hyperlink ref="A35" r:id="rId11" xr:uid="{3659770D-BDE1-427E-9618-B24E9F180782}"/>
    <hyperlink ref="A36" r:id="rId12" xr:uid="{31B9BD4F-C5AA-4765-AF05-F45900B239A6}"/>
    <hyperlink ref="A40" r:id="rId13" xr:uid="{1C91D3B0-D5CD-4552-AA65-4853DB87C3C7}"/>
    <hyperlink ref="A43" r:id="rId14" xr:uid="{B6C8E5CC-6A2C-4C10-894F-5FDEA93EA393}"/>
    <hyperlink ref="A45" r:id="rId15" xr:uid="{30A4FCA5-D7B8-4FAB-97F5-680375E3ADEF}"/>
    <hyperlink ref="A46" r:id="rId16" xr:uid="{D7B5274F-BB4C-43D2-B13E-A4B4AA0C9D30}"/>
    <hyperlink ref="A70" r:id="rId17" xr:uid="{02329EB4-D0EE-4924-96FE-D4BD83DC004F}"/>
    <hyperlink ref="A75" r:id="rId18" xr:uid="{DDB658FB-B35D-44B3-BD06-4B5340237AF8}"/>
    <hyperlink ref="A82" r:id="rId19" xr:uid="{DB123CE3-EBCA-4749-A67A-769A01128D1E}"/>
    <hyperlink ref="A83" r:id="rId20" xr:uid="{03989D39-BAFE-4D1C-863F-3368E0C11945}"/>
    <hyperlink ref="A84" r:id="rId21" xr:uid="{5E61B932-EAAB-4AD2-A982-6841D3ACF6C8}"/>
    <hyperlink ref="A85" r:id="rId22" xr:uid="{CC10B6D7-0ACD-4783-AB3B-40579D99637D}"/>
    <hyperlink ref="A86" r:id="rId23" xr:uid="{57BE20BD-DA84-485A-ABB9-D6A94197FF58}"/>
    <hyperlink ref="A124" r:id="rId24" xr:uid="{B4E927D9-D1F8-4926-9056-D3A2B006493E}"/>
    <hyperlink ref="A125" r:id="rId25" xr:uid="{17CBCEC2-BFB1-4A8D-99DD-F13A79FAC89E}"/>
    <hyperlink ref="A126" r:id="rId26" xr:uid="{F8D1DD01-A03E-4796-99E5-5B592CCEDA6F}"/>
    <hyperlink ref="A127" r:id="rId27" xr:uid="{F0462D21-4160-4B99-9925-2E6A5619C124}"/>
    <hyperlink ref="A128" r:id="rId28" xr:uid="{9BD41D09-CF2A-45EE-A72D-6F172E4EC308}"/>
    <hyperlink ref="A129" r:id="rId29" xr:uid="{8052595E-A783-4837-B943-D935C2C7CA3B}"/>
    <hyperlink ref="A130" r:id="rId30" xr:uid="{BABB8EB6-009B-4431-8749-E8141227DAE6}"/>
    <hyperlink ref="A131" r:id="rId31" xr:uid="{5E08411F-822C-45EE-AF03-6FEF23CA77D1}"/>
    <hyperlink ref="A142" r:id="rId32" xr:uid="{6364F59F-E8BF-4ACE-8B53-3E2B6166C390}"/>
    <hyperlink ref="A143" r:id="rId33" xr:uid="{F79BD909-05EE-441C-B2A8-1E0920E6023D}"/>
    <hyperlink ref="A144" r:id="rId34" xr:uid="{EAF467CB-37B6-4523-9929-8D7A77A86B5A}"/>
    <hyperlink ref="A145" r:id="rId35" xr:uid="{75E114AD-A73E-4D1A-891B-5A5E0A085001}"/>
    <hyperlink ref="D146" r:id="rId36" display="13.44 % " xr:uid="{7D9537B1-012F-47B5-BAA3-8821FDED49A8}"/>
    <hyperlink ref="A148" r:id="rId37" xr:uid="{AC7F79E8-55EC-4EA8-ACE3-3C244D090745}"/>
    <hyperlink ref="A150" r:id="rId38" xr:uid="{A12FBBA1-A177-46D4-B95B-3F1F4EACF30B}"/>
    <hyperlink ref="A151" r:id="rId39" xr:uid="{3820DAD6-6D00-49A3-BA93-B1C20667CBFE}"/>
    <hyperlink ref="A152" r:id="rId40" xr:uid="{F04AFD8D-32E7-4EF9-B449-B54105CDB55F}"/>
    <hyperlink ref="A153" r:id="rId41" xr:uid="{C77F4923-BF34-4730-9FCC-1A8401DF54B3}"/>
    <hyperlink ref="A158" r:id="rId42" xr:uid="{20E7EBA2-00B9-48DB-848C-DE2D4B627F8A}"/>
    <hyperlink ref="A149" r:id="rId43" xr:uid="{B165BBB7-C32F-41EC-9C30-95AAF71642D9}"/>
  </hyperlinks>
  <pageMargins left="0.7" right="0.7" top="0.75" bottom="0.75" header="0.511811023622047" footer="0.511811023622047"/>
  <pageSetup orientation="portrait" horizontalDpi="300" verticalDpi="300" r:id="rId4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Helmholtz-Zentrum Berlin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Nandayapa Bermudez, Edgar</dc:creator>
  <dc:description/>
  <cp:lastModifiedBy>Nandayapa Bermudez, Edgar</cp:lastModifiedBy>
  <cp:revision>1</cp:revision>
  <dcterms:created xsi:type="dcterms:W3CDTF">2025-09-25T12:32:29Z</dcterms:created>
  <dcterms:modified xsi:type="dcterms:W3CDTF">2025-10-14T14:01:21Z</dcterms:modified>
  <dc:language>de-DE</dc:language>
</cp:coreProperties>
</file>